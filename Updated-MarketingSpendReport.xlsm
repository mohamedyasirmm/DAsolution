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filterPrivacy="1" codeName="ThisWorkbook" autoCompressPictures="0"/>
  <xr:revisionPtr revIDLastSave="0" documentId="13_ncr:1_{A6AE476B-46C3-4335-AF8A-63A019C54FFC}" xr6:coauthVersionLast="47" xr6:coauthVersionMax="47" xr10:uidLastSave="{00000000-0000-0000-0000-000000000000}"/>
  <bookViews>
    <workbookView xWindow="-110" yWindow="-110" windowWidth="22780" windowHeight="14660" firstSheet="3" activeTab="9" xr2:uid="{00000000-000D-0000-FFFF-FFFF00000000}"/>
  </bookViews>
  <sheets>
    <sheet name="metrics" sheetId="5" r:id="rId1"/>
    <sheet name="spend data" sheetId="1" r:id="rId2"/>
    <sheet name="part 1 of test" sheetId="13" r:id="rId3"/>
    <sheet name="part 2 of test" sheetId="7" r:id="rId4"/>
    <sheet name="part 3 of test" sheetId="10" r:id="rId5"/>
    <sheet name="part 4 of test" sheetId="6" r:id="rId6"/>
    <sheet name="part 5 of test" sheetId="8" r:id="rId7"/>
    <sheet name="part 6 of test" sheetId="9" r:id="rId8"/>
    <sheet name="part 7 of test" sheetId="12" r:id="rId9"/>
    <sheet name="part 8 of test" sheetId="11" r:id="rId10"/>
  </sheets>
  <definedNames>
    <definedName name="_xlnm._FilterDatabase" localSheetId="8" hidden="1">'part 7 of test'!$A$6:$D$78</definedName>
  </definedNames>
  <calcPr calcId="191029"/>
  <pivotCaches>
    <pivotCache cacheId="0"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108" i="1" l="1" a="1"/>
  <c r="C108" i="1"/>
  <c r="H12" i="12"/>
  <c r="H14" i="12"/>
  <c r="J8" i="12"/>
  <c r="J10" i="12" a="1"/>
  <c r="J10" i="12" s="1"/>
  <c r="E26" i="12"/>
  <c r="E27" i="12"/>
  <c r="E28" i="12"/>
  <c r="E29" i="12"/>
  <c r="E30" i="12"/>
  <c r="AG99"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34" i="1"/>
  <c r="AB35" i="1"/>
  <c r="AB95" i="1" s="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34" i="1"/>
  <c r="AK95" i="1" s="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38" i="1"/>
  <c r="AT35" i="1"/>
  <c r="AT36" i="1"/>
  <c r="AT37" i="1"/>
  <c r="AT34" i="1"/>
  <c r="P95" i="1"/>
  <c r="O95" i="1"/>
  <c r="F95" i="1"/>
  <c r="G95" i="1"/>
  <c r="AG95" i="1"/>
  <c r="AH95" i="1"/>
  <c r="AP95" i="1"/>
  <c r="AQ95" i="1"/>
  <c r="B11" i="7" a="1"/>
  <c r="B11" i="7" s="1"/>
  <c r="B9" i="7" a="1"/>
  <c r="B9" i="7" s="1"/>
  <c r="B7" i="7" a="1"/>
  <c r="B7" i="7" s="1"/>
  <c r="I12" i="9"/>
  <c r="I10" i="9"/>
  <c r="I8" i="9"/>
  <c r="F9" i="6"/>
  <c r="F10" i="6"/>
  <c r="F11" i="6"/>
  <c r="F12" i="6"/>
  <c r="F13" i="6"/>
  <c r="F14" i="6"/>
  <c r="F15" i="6"/>
  <c r="F16" i="6"/>
  <c r="F17" i="6"/>
  <c r="F18" i="6"/>
  <c r="F19" i="6"/>
  <c r="F20" i="6"/>
  <c r="F21" i="6"/>
  <c r="F8" i="6"/>
  <c r="E9" i="6"/>
  <c r="E10" i="6"/>
  <c r="E11" i="6"/>
  <c r="E12" i="6"/>
  <c r="E13" i="6"/>
  <c r="E14" i="6"/>
  <c r="E15" i="6"/>
  <c r="E16" i="6"/>
  <c r="E17" i="6"/>
  <c r="E18" i="6"/>
  <c r="E19" i="6"/>
  <c r="E20" i="6"/>
  <c r="E21" i="6"/>
  <c r="E8" i="6"/>
  <c r="D9" i="6"/>
  <c r="D10" i="6"/>
  <c r="D11" i="6"/>
  <c r="D12" i="6"/>
  <c r="D13" i="6"/>
  <c r="D14" i="6"/>
  <c r="D15" i="6"/>
  <c r="D16" i="6"/>
  <c r="D17" i="6"/>
  <c r="D18" i="6"/>
  <c r="D19" i="6"/>
  <c r="D20" i="6"/>
  <c r="D21" i="6"/>
  <c r="D8" i="6"/>
  <c r="C8" i="6"/>
  <c r="C9" i="6"/>
  <c r="C10" i="6"/>
  <c r="C11" i="6"/>
  <c r="C12" i="6"/>
  <c r="C13" i="6"/>
  <c r="C14" i="6"/>
  <c r="C15" i="6"/>
  <c r="C16" i="6"/>
  <c r="C17" i="6"/>
  <c r="C18" i="6"/>
  <c r="C19" i="6"/>
  <c r="C20" i="6"/>
  <c r="C21" i="6"/>
  <c r="B9" i="6"/>
  <c r="B10" i="6"/>
  <c r="B11" i="6"/>
  <c r="B12" i="6"/>
  <c r="B13" i="6"/>
  <c r="B14" i="6"/>
  <c r="B15" i="6"/>
  <c r="B16" i="6"/>
  <c r="B17" i="6"/>
  <c r="B18" i="6"/>
  <c r="B19" i="6"/>
  <c r="B20" i="6"/>
  <c r="B21" i="6"/>
  <c r="B8" i="6"/>
  <c r="BC34" i="1"/>
  <c r="BC39" i="1"/>
  <c r="BC41" i="1"/>
  <c r="BC42" i="1"/>
  <c r="BC47" i="1"/>
  <c r="BC49" i="1"/>
  <c r="BC50" i="1"/>
  <c r="BC55" i="1"/>
  <c r="BC57" i="1"/>
  <c r="BC58" i="1"/>
  <c r="BC63" i="1"/>
  <c r="BB35" i="1"/>
  <c r="BB43" i="1"/>
  <c r="BB51" i="1"/>
  <c r="BB59" i="1"/>
  <c r="BA35" i="1"/>
  <c r="BA37" i="1"/>
  <c r="BA43" i="1"/>
  <c r="BA45" i="1"/>
  <c r="BA51" i="1"/>
  <c r="BA53" i="1"/>
  <c r="BA59" i="1"/>
  <c r="BA61" i="1"/>
  <c r="AZ37" i="1"/>
  <c r="AZ39" i="1"/>
  <c r="AZ45" i="1"/>
  <c r="AZ47" i="1"/>
  <c r="AZ53" i="1"/>
  <c r="AZ55" i="1"/>
  <c r="AZ61" i="1"/>
  <c r="AZ63" i="1"/>
  <c r="AY34" i="1"/>
  <c r="AY41" i="1"/>
  <c r="AY42" i="1"/>
  <c r="AY49" i="1"/>
  <c r="AY50" i="1"/>
  <c r="AY57" i="1"/>
  <c r="AY58" i="1"/>
  <c r="AU34" i="1"/>
  <c r="AV34" i="1"/>
  <c r="F10" i="13" s="1"/>
  <c r="F12" i="13" s="1"/>
  <c r="AW34" i="1"/>
  <c r="BB34" i="1" s="1"/>
  <c r="AX34" i="1"/>
  <c r="AU35" i="1"/>
  <c r="AV35" i="1"/>
  <c r="BC35" i="1" s="1"/>
  <c r="AW35" i="1"/>
  <c r="AX35" i="1"/>
  <c r="E10" i="13" s="1"/>
  <c r="E12" i="13" s="1"/>
  <c r="AU36" i="1"/>
  <c r="AV36" i="1"/>
  <c r="BC36" i="1" s="1"/>
  <c r="AW36" i="1"/>
  <c r="BA36" i="1" s="1"/>
  <c r="AX36" i="1"/>
  <c r="AU37" i="1"/>
  <c r="AV37" i="1"/>
  <c r="BC37" i="1" s="1"/>
  <c r="AW37" i="1"/>
  <c r="AX37" i="1"/>
  <c r="BB37" i="1" s="1"/>
  <c r="AU38" i="1"/>
  <c r="AV38" i="1"/>
  <c r="BC38" i="1" s="1"/>
  <c r="AW38" i="1"/>
  <c r="BB38" i="1" s="1"/>
  <c r="AX38" i="1"/>
  <c r="AU39" i="1"/>
  <c r="AV39" i="1"/>
  <c r="AW39" i="1"/>
  <c r="BA39" i="1" s="1"/>
  <c r="AX39" i="1"/>
  <c r="AY39" i="1" s="1"/>
  <c r="AU40" i="1"/>
  <c r="AV40" i="1"/>
  <c r="AY40" i="1" s="1"/>
  <c r="AW40" i="1"/>
  <c r="BA40" i="1" s="1"/>
  <c r="AX40" i="1"/>
  <c r="AU41" i="1"/>
  <c r="AV41" i="1"/>
  <c r="AZ41" i="1" s="1"/>
  <c r="AW41" i="1"/>
  <c r="BA41" i="1" s="1"/>
  <c r="AX41" i="1"/>
  <c r="BB41" i="1" s="1"/>
  <c r="AU42" i="1"/>
  <c r="AV42" i="1"/>
  <c r="AZ42" i="1" s="1"/>
  <c r="AW42" i="1"/>
  <c r="BA42" i="1" s="1"/>
  <c r="AX42" i="1"/>
  <c r="AU43" i="1"/>
  <c r="AV43" i="1"/>
  <c r="BC43" i="1" s="1"/>
  <c r="AW43" i="1"/>
  <c r="AX43" i="1"/>
  <c r="AU44" i="1"/>
  <c r="AV44" i="1"/>
  <c r="BC44" i="1" s="1"/>
  <c r="AW44" i="1"/>
  <c r="BB44" i="1" s="1"/>
  <c r="AX44" i="1"/>
  <c r="AU45" i="1"/>
  <c r="AV45" i="1"/>
  <c r="BC45" i="1" s="1"/>
  <c r="AW45" i="1"/>
  <c r="AX45" i="1"/>
  <c r="BB45" i="1" s="1"/>
  <c r="AU46" i="1"/>
  <c r="AV46" i="1"/>
  <c r="BC46" i="1" s="1"/>
  <c r="AW46" i="1"/>
  <c r="BB46" i="1" s="1"/>
  <c r="AX46" i="1"/>
  <c r="AU47" i="1"/>
  <c r="AV47" i="1"/>
  <c r="AW47" i="1"/>
  <c r="BA47" i="1" s="1"/>
  <c r="AX47" i="1"/>
  <c r="BB47" i="1" s="1"/>
  <c r="AU48" i="1"/>
  <c r="AV48" i="1"/>
  <c r="BC48" i="1" s="1"/>
  <c r="AW48" i="1"/>
  <c r="BA48" i="1" s="1"/>
  <c r="AX48" i="1"/>
  <c r="AU49" i="1"/>
  <c r="AV49" i="1"/>
  <c r="AZ49" i="1" s="1"/>
  <c r="AW49" i="1"/>
  <c r="BA49" i="1" s="1"/>
  <c r="AX49" i="1"/>
  <c r="BB49" i="1" s="1"/>
  <c r="AU50" i="1"/>
  <c r="AV50" i="1"/>
  <c r="AZ50" i="1" s="1"/>
  <c r="AW50" i="1"/>
  <c r="BA50" i="1" s="1"/>
  <c r="AX50" i="1"/>
  <c r="AU51" i="1"/>
  <c r="AV51" i="1"/>
  <c r="BC51" i="1" s="1"/>
  <c r="AW51" i="1"/>
  <c r="AX51" i="1"/>
  <c r="AU52" i="1"/>
  <c r="AV52" i="1"/>
  <c r="BC52" i="1" s="1"/>
  <c r="AW52" i="1"/>
  <c r="BA52" i="1" s="1"/>
  <c r="AX52" i="1"/>
  <c r="AU53" i="1"/>
  <c r="AV53" i="1"/>
  <c r="BC53" i="1" s="1"/>
  <c r="AW53" i="1"/>
  <c r="AX53" i="1"/>
  <c r="BB53" i="1" s="1"/>
  <c r="AU54" i="1"/>
  <c r="AV54" i="1"/>
  <c r="BC54" i="1" s="1"/>
  <c r="AW54" i="1"/>
  <c r="BB54" i="1" s="1"/>
  <c r="AX54" i="1"/>
  <c r="AU55" i="1"/>
  <c r="AV55" i="1"/>
  <c r="AW55" i="1"/>
  <c r="BA55" i="1" s="1"/>
  <c r="AX55" i="1"/>
  <c r="BB55" i="1" s="1"/>
  <c r="AU56" i="1"/>
  <c r="AV56" i="1"/>
  <c r="AY56" i="1" s="1"/>
  <c r="AW56" i="1"/>
  <c r="BA56" i="1" s="1"/>
  <c r="AX56" i="1"/>
  <c r="AU57" i="1"/>
  <c r="AV57" i="1"/>
  <c r="AZ57" i="1" s="1"/>
  <c r="AW57" i="1"/>
  <c r="BA57" i="1" s="1"/>
  <c r="AX57" i="1"/>
  <c r="BB57" i="1" s="1"/>
  <c r="AU58" i="1"/>
  <c r="AV58" i="1"/>
  <c r="AZ58" i="1" s="1"/>
  <c r="AW58" i="1"/>
  <c r="BA58" i="1" s="1"/>
  <c r="AX58" i="1"/>
  <c r="AU59" i="1"/>
  <c r="AV59" i="1"/>
  <c r="BC59" i="1" s="1"/>
  <c r="AW59" i="1"/>
  <c r="AX59" i="1"/>
  <c r="AU60" i="1"/>
  <c r="AV60" i="1"/>
  <c r="BC60" i="1" s="1"/>
  <c r="AW60" i="1"/>
  <c r="BB60" i="1" s="1"/>
  <c r="AX60" i="1"/>
  <c r="AU61" i="1"/>
  <c r="AV61" i="1"/>
  <c r="BC61" i="1" s="1"/>
  <c r="AW61" i="1"/>
  <c r="AX61" i="1"/>
  <c r="BB61" i="1" s="1"/>
  <c r="AU62" i="1"/>
  <c r="AV62" i="1"/>
  <c r="BC62" i="1" s="1"/>
  <c r="AW62" i="1"/>
  <c r="BB62" i="1" s="1"/>
  <c r="AX62" i="1"/>
  <c r="AU63" i="1"/>
  <c r="AV63" i="1"/>
  <c r="AW63" i="1"/>
  <c r="BA63" i="1" s="1"/>
  <c r="AX63" i="1"/>
  <c r="BB63" i="1" s="1"/>
  <c r="H8" i="12"/>
  <c r="H10" i="12"/>
  <c r="AZ56" i="1" l="1"/>
  <c r="BA62" i="1"/>
  <c r="BA38" i="1"/>
  <c r="B5" i="7" a="1"/>
  <c r="B5" i="7" s="1"/>
  <c r="J95" i="1"/>
  <c r="B10" i="13"/>
  <c r="B12" i="13" s="1"/>
  <c r="C10" i="13"/>
  <c r="C12" i="13" s="1"/>
  <c r="AZ40" i="1"/>
  <c r="BA46" i="1"/>
  <c r="BB52" i="1"/>
  <c r="BB36" i="1"/>
  <c r="AY48" i="1"/>
  <c r="AZ62" i="1"/>
  <c r="AZ46" i="1"/>
  <c r="BA60" i="1"/>
  <c r="BA44" i="1"/>
  <c r="BB58" i="1"/>
  <c r="BB42" i="1"/>
  <c r="BC56" i="1"/>
  <c r="BC40" i="1"/>
  <c r="AY55" i="1"/>
  <c r="AY62" i="1"/>
  <c r="AY46" i="1"/>
  <c r="AZ52" i="1"/>
  <c r="BA34" i="1"/>
  <c r="AY53" i="1"/>
  <c r="AZ35" i="1"/>
  <c r="BB39" i="1"/>
  <c r="D10" i="13"/>
  <c r="D12" i="13" s="1"/>
  <c r="AZ48" i="1"/>
  <c r="BA54" i="1"/>
  <c r="X95" i="1"/>
  <c r="C24" i="7" s="1"/>
  <c r="F11" i="7" s="1"/>
  <c r="AZ54" i="1"/>
  <c r="AZ38" i="1"/>
  <c r="BB50" i="1"/>
  <c r="AY47" i="1"/>
  <c r="AY38" i="1"/>
  <c r="BB48" i="1"/>
  <c r="Y95" i="1"/>
  <c r="C20" i="7" s="1"/>
  <c r="AY63" i="1"/>
  <c r="AY54" i="1"/>
  <c r="AZ60" i="1"/>
  <c r="AZ44" i="1"/>
  <c r="AZ36" i="1"/>
  <c r="BB56" i="1"/>
  <c r="BB40" i="1"/>
  <c r="AY61" i="1"/>
  <c r="AY45" i="1"/>
  <c r="AY37" i="1"/>
  <c r="AZ59" i="1"/>
  <c r="AZ51" i="1"/>
  <c r="AZ43" i="1"/>
  <c r="S95" i="1"/>
  <c r="AY60" i="1"/>
  <c r="AY52" i="1"/>
  <c r="AY44" i="1"/>
  <c r="AY36" i="1"/>
  <c r="AZ34" i="1"/>
  <c r="AY59" i="1"/>
  <c r="AY51" i="1"/>
  <c r="AY43" i="1"/>
  <c r="AY35" i="1"/>
  <c r="AT95" i="1"/>
  <c r="C22"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<sst xmlns="http://schemas.openxmlformats.org/spreadsheetml/2006/main" count="585" uniqueCount="438">
  <si>
    <t>Date</t>
  </si>
  <si>
    <t>Impressions</t>
  </si>
  <si>
    <t>Spend</t>
  </si>
  <si>
    <t>Clicks</t>
  </si>
  <si>
    <t>Installs</t>
  </si>
  <si>
    <t>CPI</t>
  </si>
  <si>
    <t>CPC</t>
  </si>
  <si>
    <t>CTR%</t>
  </si>
  <si>
    <t>Partner A</t>
  </si>
  <si>
    <t>CTI%</t>
  </si>
  <si>
    <t>eCPM</t>
  </si>
  <si>
    <t>Partner B</t>
  </si>
  <si>
    <t>Partner C</t>
  </si>
  <si>
    <t>Partner D</t>
  </si>
  <si>
    <t>Partner E</t>
  </si>
  <si>
    <t>Total</t>
  </si>
  <si>
    <t>Helpful Hints</t>
  </si>
  <si>
    <t>Click through Rate  - Clicks/Impressions</t>
  </si>
  <si>
    <t>Cost per Install - Spend/Installs</t>
  </si>
  <si>
    <t>Cost per 1000 Impressions - Spend/(Impressions/1000)</t>
  </si>
  <si>
    <t>Geo</t>
  </si>
  <si>
    <t>Interest</t>
  </si>
  <si>
    <t>Device</t>
  </si>
  <si>
    <t>Pricing</t>
  </si>
  <si>
    <t>Campaign Name</t>
  </si>
  <si>
    <t>AU</t>
  </si>
  <si>
    <t>ipad</t>
  </si>
  <si>
    <t>cpi</t>
  </si>
  <si>
    <t>social empires</t>
  </si>
  <si>
    <t>Which row(s) are the duplicate values in?</t>
  </si>
  <si>
    <t>What is the duplicate value?</t>
  </si>
  <si>
    <t>How did you find these?</t>
  </si>
  <si>
    <t>AU_social empires_ipad_cpi [20140415-1000-102]</t>
  </si>
  <si>
    <t>FR_call of duty: world at war_iphone_cpi [20140415-1000-70]</t>
  </si>
  <si>
    <t>MX_walmart_ipad_cpi [20140415-1000-833]</t>
  </si>
  <si>
    <t>US_sheldon cooper_ipad_cpi [20140415-1000-515]</t>
  </si>
  <si>
    <t>US_jeff dunham_iphone_cpi [20140415-1000-817]</t>
  </si>
  <si>
    <t>CA_target_iphone_cpi [20140415-1000-674]</t>
  </si>
  <si>
    <t>FR_shakira_iphone_cpi [20140415-1000-223]</t>
  </si>
  <si>
    <t>US_vin diesel_iphone_cpi [20140415-1000-932]</t>
  </si>
  <si>
    <t>US_starbucks_ipad_cpi [20140415-1000-492]</t>
  </si>
  <si>
    <t>US_how i met your mother_ipad_cpi [20140415-1000-997]</t>
  </si>
  <si>
    <t>AU_david beckham_ipad_cpi [20140415-1000-670]</t>
  </si>
  <si>
    <t>CA_the office_iphone_cpi [20140415-1000-657]</t>
  </si>
  <si>
    <t>CA_dr pepper_iphone_cpi [20140415-1000-458]</t>
  </si>
  <si>
    <t>US_baseball_ipad_cpi [20140415-1000-1000]</t>
  </si>
  <si>
    <t>TH_nirvana_ipad_cpi [20140415-1000-688]</t>
  </si>
  <si>
    <t>ID - Anything between [  ]</t>
  </si>
  <si>
    <t>[20140415-1000-102]</t>
  </si>
  <si>
    <t>pubid:95524</t>
  </si>
  <si>
    <t>pubid:98592</t>
  </si>
  <si>
    <t>pubid:50192</t>
  </si>
  <si>
    <t>pubid:78738</t>
  </si>
  <si>
    <t>pubid:29048</t>
  </si>
  <si>
    <t>pubid:99756</t>
  </si>
  <si>
    <t>pubid:72233</t>
  </si>
  <si>
    <t>pubid:64054</t>
  </si>
  <si>
    <t>pubid:71762</t>
  </si>
  <si>
    <t>pubid:29601</t>
  </si>
  <si>
    <t>pubid:37715</t>
  </si>
  <si>
    <t>pubid:9500</t>
  </si>
  <si>
    <t>pubid:96525</t>
  </si>
  <si>
    <t>pubid:11061</t>
  </si>
  <si>
    <t>pubid:15973</t>
  </si>
  <si>
    <t>pubid:98670</t>
  </si>
  <si>
    <t>pubid:28103</t>
  </si>
  <si>
    <t>pubid:92575</t>
  </si>
  <si>
    <t>pubid:67172</t>
  </si>
  <si>
    <t>pubid:4908</t>
  </si>
  <si>
    <t>pubid:39627</t>
  </si>
  <si>
    <t>pubid:81992</t>
  </si>
  <si>
    <t>pubid:62821</t>
  </si>
  <si>
    <t>pubid:35204</t>
  </si>
  <si>
    <t>pubid:98796</t>
  </si>
  <si>
    <t>pubid:28319</t>
  </si>
  <si>
    <t>pubid:98214</t>
  </si>
  <si>
    <t>pubid:84280</t>
  </si>
  <si>
    <t>pubid:82339</t>
  </si>
  <si>
    <t>pubid:39064</t>
  </si>
  <si>
    <t>pubid:26820</t>
  </si>
  <si>
    <t>pubid:79942</t>
  </si>
  <si>
    <t>pubid:44092</t>
  </si>
  <si>
    <t>pubid:69258</t>
  </si>
  <si>
    <t>pubid:35230</t>
  </si>
  <si>
    <t>pubid:55949</t>
  </si>
  <si>
    <t>pubid:23965</t>
  </si>
  <si>
    <t>pubid:69071</t>
  </si>
  <si>
    <t>pubid:15017</t>
  </si>
  <si>
    <t>pubid:69313</t>
  </si>
  <si>
    <t>pubid:11978</t>
  </si>
  <si>
    <t>pubid:33935</t>
  </si>
  <si>
    <t>pubid:99418</t>
  </si>
  <si>
    <t>pubid:13830</t>
  </si>
  <si>
    <t>pubid:90964</t>
  </si>
  <si>
    <t>pubid:44182</t>
  </si>
  <si>
    <t>pubid:27708</t>
  </si>
  <si>
    <t>pubid:88995</t>
  </si>
  <si>
    <t>pubid:7418</t>
  </si>
  <si>
    <t>pubid:33621</t>
  </si>
  <si>
    <t>pubid:77240</t>
  </si>
  <si>
    <t>pubid:54525</t>
  </si>
  <si>
    <t>pubid:27958</t>
  </si>
  <si>
    <t>pubid:87122</t>
  </si>
  <si>
    <t>pubid:91534</t>
  </si>
  <si>
    <t>pubid:58183</t>
  </si>
  <si>
    <t>pubid:75533</t>
  </si>
  <si>
    <t>pubid:1754</t>
  </si>
  <si>
    <t>pubid:70407</t>
  </si>
  <si>
    <t>pubid:39039</t>
  </si>
  <si>
    <t>pubid:91453</t>
  </si>
  <si>
    <t>pubid:70993</t>
  </si>
  <si>
    <t>pubid:25907</t>
  </si>
  <si>
    <t>pubid:35834</t>
  </si>
  <si>
    <t>pubid:42186</t>
  </si>
  <si>
    <t>pubid:52484</t>
  </si>
  <si>
    <t>pubid:99153</t>
  </si>
  <si>
    <t>pubid:31750</t>
  </si>
  <si>
    <t>pubid:21879</t>
  </si>
  <si>
    <t>pubid:61086</t>
  </si>
  <si>
    <t>pubid:15167</t>
  </si>
  <si>
    <t>pubid:99628</t>
  </si>
  <si>
    <t>pubid:93859</t>
  </si>
  <si>
    <t>pubid:51861</t>
  </si>
  <si>
    <t>pubid:17359</t>
  </si>
  <si>
    <t>pubid:97767</t>
  </si>
  <si>
    <t>pubid:30413</t>
  </si>
  <si>
    <t>pubid:32304</t>
  </si>
  <si>
    <t>pubid:13992</t>
  </si>
  <si>
    <t>pubid:30891</t>
  </si>
  <si>
    <t>pubid:77714</t>
  </si>
  <si>
    <t>pubid:64307</t>
  </si>
  <si>
    <t>pubid:47985</t>
  </si>
  <si>
    <t>pubid:46902</t>
  </si>
  <si>
    <t>pubid:59042</t>
  </si>
  <si>
    <t>pubid:79676</t>
  </si>
  <si>
    <t>pubid:26589</t>
  </si>
  <si>
    <t>pubid:1118</t>
  </si>
  <si>
    <t>pubid:39727</t>
  </si>
  <si>
    <t>pubid:32981</t>
  </si>
  <si>
    <t>pubid:96300</t>
  </si>
  <si>
    <t>pubid:57096</t>
  </si>
  <si>
    <t>pubid:35089</t>
  </si>
  <si>
    <t>pubid:30256</t>
  </si>
  <si>
    <t>pubid:40464</t>
  </si>
  <si>
    <t>pubid:10924</t>
  </si>
  <si>
    <t>pubid:13212</t>
  </si>
  <si>
    <t>pubid:56181</t>
  </si>
  <si>
    <t>pubid:96116</t>
  </si>
  <si>
    <t>pubid:71736</t>
  </si>
  <si>
    <t>pubid:52147</t>
  </si>
  <si>
    <t>pubid:42177</t>
  </si>
  <si>
    <t>pubid:83887</t>
  </si>
  <si>
    <t>pubid:39458</t>
  </si>
  <si>
    <t>pubid:3482</t>
  </si>
  <si>
    <t>pubid:34668</t>
  </si>
  <si>
    <t>pubid:64341</t>
  </si>
  <si>
    <t>pubid:84948</t>
  </si>
  <si>
    <t>pubid:80875</t>
  </si>
  <si>
    <t>pubid:38073</t>
  </si>
  <si>
    <t>pubid:10003</t>
  </si>
  <si>
    <t>pubid:5190</t>
  </si>
  <si>
    <t>pubid:49920</t>
  </si>
  <si>
    <t>pubid:26250</t>
  </si>
  <si>
    <t>pubid:1733</t>
  </si>
  <si>
    <t>pubid:47738</t>
  </si>
  <si>
    <t>pubid:74497</t>
  </si>
  <si>
    <t>pubid:24580</t>
  </si>
  <si>
    <t>pubid:98896</t>
  </si>
  <si>
    <t>pubid:50342</t>
  </si>
  <si>
    <t>pubid:1352</t>
  </si>
  <si>
    <t>pubid:55247</t>
  </si>
  <si>
    <t>pubid:53069</t>
  </si>
  <si>
    <t>pubid:56634</t>
  </si>
  <si>
    <t>pubid:51365</t>
  </si>
  <si>
    <t>pubid:27812</t>
  </si>
  <si>
    <t>pubid:45253</t>
  </si>
  <si>
    <t>pubid:7457</t>
  </si>
  <si>
    <t>pubid:31105</t>
  </si>
  <si>
    <t>pubid:89311</t>
  </si>
  <si>
    <t>pubid:25271</t>
  </si>
  <si>
    <t>pubid:90496</t>
  </si>
  <si>
    <t>pubid:9977</t>
  </si>
  <si>
    <t>pubid:68886</t>
  </si>
  <si>
    <t>pubid:34163</t>
  </si>
  <si>
    <t>pubid:79563</t>
  </si>
  <si>
    <t>pubid:55910</t>
  </si>
  <si>
    <t>pubid:71429</t>
  </si>
  <si>
    <t>pubid:68103</t>
  </si>
  <si>
    <t>pubid:73395</t>
  </si>
  <si>
    <t>pubid:63560</t>
  </si>
  <si>
    <t>pubid:43701</t>
  </si>
  <si>
    <t>pubid:21531</t>
  </si>
  <si>
    <t>pubid:95874</t>
  </si>
  <si>
    <t>pubid:60479</t>
  </si>
  <si>
    <t>pubid:66641</t>
  </si>
  <si>
    <t>pubid:32944</t>
  </si>
  <si>
    <t>pubid:53483</t>
  </si>
  <si>
    <t>pubid:59521</t>
  </si>
  <si>
    <t>pubid:56347</t>
  </si>
  <si>
    <t>pubid:28473</t>
  </si>
  <si>
    <t>pubid:41537</t>
  </si>
  <si>
    <t>pubid:1106</t>
  </si>
  <si>
    <t>pubid:4832</t>
  </si>
  <si>
    <t>pubid:39381</t>
  </si>
  <si>
    <t>pubid:9744</t>
  </si>
  <si>
    <t>pubid:95332</t>
  </si>
  <si>
    <t>pubid:19820</t>
  </si>
  <si>
    <t>pubid:4396</t>
  </si>
  <si>
    <t>pubid:49071</t>
  </si>
  <si>
    <t>pubid:74718</t>
  </si>
  <si>
    <t>pubid:87580</t>
  </si>
  <si>
    <t>pubid:98149</t>
  </si>
  <si>
    <t>pubid:1818</t>
  </si>
  <si>
    <t>pubid:67423</t>
  </si>
  <si>
    <t>pubid:50279</t>
  </si>
  <si>
    <t>pubid:36671</t>
  </si>
  <si>
    <t>pubid:92091</t>
  </si>
  <si>
    <t>pubid:61553</t>
  </si>
  <si>
    <t>pubid:728</t>
  </si>
  <si>
    <t>pubid:78935</t>
  </si>
  <si>
    <t>pubid:71791</t>
  </si>
  <si>
    <t>pubid:98707</t>
  </si>
  <si>
    <t>pubid:64092</t>
  </si>
  <si>
    <t>pubid:98332</t>
  </si>
  <si>
    <t>pubid:45585</t>
  </si>
  <si>
    <t>pubid:24906</t>
  </si>
  <si>
    <t>pubid:58136</t>
  </si>
  <si>
    <t>pubid:43667</t>
  </si>
  <si>
    <t>pubid:63492</t>
  </si>
  <si>
    <t>pubid:10155</t>
  </si>
  <si>
    <t>pubid:94114</t>
  </si>
  <si>
    <t>pubid:21544</t>
  </si>
  <si>
    <t>pubid:92440</t>
  </si>
  <si>
    <t>pubid:27597</t>
  </si>
  <si>
    <t>pubid:11488</t>
  </si>
  <si>
    <t>pubid:12649</t>
  </si>
  <si>
    <t>pubid:75720</t>
  </si>
  <si>
    <t>pubid:46258</t>
  </si>
  <si>
    <t>pubid:52610</t>
  </si>
  <si>
    <t>pubid:81844</t>
  </si>
  <si>
    <t>pubid:90810</t>
  </si>
  <si>
    <t>pubid:13617</t>
  </si>
  <si>
    <t>pubid:49771</t>
  </si>
  <si>
    <t>pubid:93258</t>
  </si>
  <si>
    <t>pubid:63630</t>
  </si>
  <si>
    <t>pubid:69044</t>
  </si>
  <si>
    <t>pubid:7123</t>
  </si>
  <si>
    <t>pubid:97562</t>
  </si>
  <si>
    <t>pubid:91629</t>
  </si>
  <si>
    <t>pubid:12574</t>
  </si>
  <si>
    <t>pubid:11198</t>
  </si>
  <si>
    <t>pubid:23113</t>
  </si>
  <si>
    <t>pubid:53285</t>
  </si>
  <si>
    <t>pubid:23474</t>
  </si>
  <si>
    <t>pubid:36786</t>
  </si>
  <si>
    <t>pubid:23059</t>
  </si>
  <si>
    <t>pubid:84761</t>
  </si>
  <si>
    <t>pubid:15811</t>
  </si>
  <si>
    <t>pubid:74692</t>
  </si>
  <si>
    <t>pubid:56310</t>
  </si>
  <si>
    <t>pubid:22605</t>
  </si>
  <si>
    <t>pubid:12956</t>
  </si>
  <si>
    <t>pubid:32875</t>
  </si>
  <si>
    <t>pubid:42594</t>
  </si>
  <si>
    <t>pubid:3815</t>
  </si>
  <si>
    <t>pubid:14702</t>
  </si>
  <si>
    <t>pubid:80629</t>
  </si>
  <si>
    <t>pubid:59058</t>
  </si>
  <si>
    <t>pubid:37993</t>
  </si>
  <si>
    <t>pubid:90153</t>
  </si>
  <si>
    <t>pubid:78924</t>
  </si>
  <si>
    <t>pubid:62049</t>
  </si>
  <si>
    <t>pubid:33972</t>
  </si>
  <si>
    <t>pubid:29859</t>
  </si>
  <si>
    <t>pubid:4740</t>
  </si>
  <si>
    <t>pubid:51061</t>
  </si>
  <si>
    <t>pubid:13539</t>
  </si>
  <si>
    <t>pubid:60055</t>
  </si>
  <si>
    <t>pubid:9406</t>
  </si>
  <si>
    <t>pubid:28180</t>
  </si>
  <si>
    <t>pubid:11769</t>
  </si>
  <si>
    <t>pubid:45247</t>
  </si>
  <si>
    <t>pubid:29924</t>
  </si>
  <si>
    <t>pubid:99282</t>
  </si>
  <si>
    <t>pubid:95416</t>
  </si>
  <si>
    <t>pubid:22174</t>
  </si>
  <si>
    <t>pubid:92412</t>
  </si>
  <si>
    <t>pubid:86570</t>
  </si>
  <si>
    <t>pubid:1904</t>
  </si>
  <si>
    <t>pubid:19140</t>
  </si>
  <si>
    <t>pubid:88452</t>
  </si>
  <si>
    <t>pubid:41125</t>
  </si>
  <si>
    <t>pubid:7084</t>
  </si>
  <si>
    <t>pubid:72322</t>
  </si>
  <si>
    <t>pubid:57860</t>
  </si>
  <si>
    <t>pubid:48147</t>
  </si>
  <si>
    <t>pubid:834</t>
  </si>
  <si>
    <t>pubid:58425</t>
  </si>
  <si>
    <t>pubid:4541</t>
  </si>
  <si>
    <t>pubid:17989</t>
  </si>
  <si>
    <t>pubid:14602</t>
  </si>
  <si>
    <t>pubid:16624</t>
  </si>
  <si>
    <t>pubid:96164</t>
  </si>
  <si>
    <t>pubid:17000</t>
  </si>
  <si>
    <t>pubid:1592</t>
  </si>
  <si>
    <t>pubid:83400</t>
  </si>
  <si>
    <t>pubid:69649</t>
  </si>
  <si>
    <t>pubid:31329</t>
  </si>
  <si>
    <t>pubid:17384</t>
  </si>
  <si>
    <t>pubid:55010</t>
  </si>
  <si>
    <t>pubid:23068</t>
  </si>
  <si>
    <t>pubid:84281</t>
  </si>
  <si>
    <t>pubid:89970</t>
  </si>
  <si>
    <t>pubid:37263</t>
  </si>
  <si>
    <t>pubid:93281</t>
  </si>
  <si>
    <t>pubid:23227</t>
  </si>
  <si>
    <t>pubid:28575</t>
  </si>
  <si>
    <t>pubid:3536</t>
  </si>
  <si>
    <t>pubid:40720</t>
  </si>
  <si>
    <t>pubid:12379</t>
  </si>
  <si>
    <t>pubid:4415</t>
  </si>
  <si>
    <t>pubid:29576</t>
  </si>
  <si>
    <t>pubid:40185</t>
  </si>
  <si>
    <t>pubid:81957</t>
  </si>
  <si>
    <t>pubid:73002</t>
  </si>
  <si>
    <t>pubid:75868</t>
  </si>
  <si>
    <t>pubid:55801</t>
  </si>
  <si>
    <t>pubid:94656</t>
  </si>
  <si>
    <t>pubid:98360</t>
  </si>
  <si>
    <t>pubid:11154</t>
  </si>
  <si>
    <t>pubid:81301</t>
  </si>
  <si>
    <t>pubid:23027</t>
  </si>
  <si>
    <t>pubid:83633</t>
  </si>
  <si>
    <t>pubid:60794</t>
  </si>
  <si>
    <t>pubid:18701</t>
  </si>
  <si>
    <t>pubid:9051</t>
  </si>
  <si>
    <t>pubid:45674</t>
  </si>
  <si>
    <t>pubid:45092</t>
  </si>
  <si>
    <t>pubid:84897</t>
  </si>
  <si>
    <t>pubid:53029</t>
  </si>
  <si>
    <t>pubid:95768</t>
  </si>
  <si>
    <t>pubid:64099</t>
  </si>
  <si>
    <t>pubid:11862</t>
  </si>
  <si>
    <t>pubid:45783</t>
  </si>
  <si>
    <t>pubid:97602</t>
  </si>
  <si>
    <t>pubid:56118</t>
  </si>
  <si>
    <t>pubid:98034</t>
  </si>
  <si>
    <t>pubid:99815</t>
  </si>
  <si>
    <t>pubid:73497</t>
  </si>
  <si>
    <t>pubid:93774</t>
  </si>
  <si>
    <t>pubid:51579</t>
  </si>
  <si>
    <t>pubid:5570</t>
  </si>
  <si>
    <t>pubid:23936</t>
  </si>
  <si>
    <t>pubid:81251</t>
  </si>
  <si>
    <t>pubid:11203</t>
  </si>
  <si>
    <t>pubid:8698</t>
  </si>
  <si>
    <t>pubid:32151</t>
  </si>
  <si>
    <t>pubid:39599</t>
  </si>
  <si>
    <t>pubid:49085</t>
  </si>
  <si>
    <t>pubid:13487</t>
  </si>
  <si>
    <t>pubid:47313</t>
  </si>
  <si>
    <t>pubid:78597</t>
  </si>
  <si>
    <t>pubid:24368</t>
  </si>
  <si>
    <t>pubid:39852</t>
  </si>
  <si>
    <t>pubid:98412</t>
  </si>
  <si>
    <t>pubid:72108</t>
  </si>
  <si>
    <t>pubid:86534</t>
  </si>
  <si>
    <t>pubid:514</t>
  </si>
  <si>
    <t>pubid:19174</t>
  </si>
  <si>
    <t>pubid:56686</t>
  </si>
  <si>
    <t>pubid:12000</t>
  </si>
  <si>
    <t>pubid:85666</t>
  </si>
  <si>
    <t>pubid:55603</t>
  </si>
  <si>
    <t>pubid:20377</t>
  </si>
  <si>
    <t>pubid:37594</t>
  </si>
  <si>
    <t>pubid:35121</t>
  </si>
  <si>
    <t>pubid:27465</t>
  </si>
  <si>
    <t>pubid:83668</t>
  </si>
  <si>
    <t>pubid:42657</t>
  </si>
  <si>
    <t>pubid:51506</t>
  </si>
  <si>
    <t>pubid:22964</t>
  </si>
  <si>
    <t>pubid:29311</t>
  </si>
  <si>
    <t>pubid:91905</t>
  </si>
  <si>
    <t>pubid:21975</t>
  </si>
  <si>
    <t>pubid:36947</t>
  </si>
  <si>
    <t>pubid:98153</t>
  </si>
  <si>
    <t>pubid:2924</t>
  </si>
  <si>
    <t>pubid:39176</t>
  </si>
  <si>
    <t>pubid:27370</t>
  </si>
  <si>
    <t>pubid:49881</t>
  </si>
  <si>
    <t>Publisher</t>
  </si>
  <si>
    <t>Lookup Table</t>
  </si>
  <si>
    <t>Which is the max spend amount within this data set?</t>
  </si>
  <si>
    <t>How many publishers have this spend amount?</t>
  </si>
  <si>
    <t>What are the publisher ids that meet this criteria?</t>
  </si>
  <si>
    <t>How did you find these answers/ what excel functions did you use?</t>
  </si>
  <si>
    <t>Find the duplicate value within the data set (A:A346)</t>
  </si>
  <si>
    <t>Below create a chart with a secondary axis to best visualize the data in the tab 'spend data'. We want to visualize the trend of impressions vs eCPM over time. Example below</t>
  </si>
  <si>
    <t>Units Sold</t>
  </si>
  <si>
    <t>Revenue</t>
  </si>
  <si>
    <t>Sales Person</t>
  </si>
  <si>
    <t>Joe</t>
  </si>
  <si>
    <t>John</t>
  </si>
  <si>
    <t>Which sales person sold the most Units?</t>
  </si>
  <si>
    <t>Which sales person had the most revenue?</t>
  </si>
  <si>
    <t>How many units did Bob Sell?</t>
  </si>
  <si>
    <t>Bob</t>
  </si>
  <si>
    <t>Steve</t>
  </si>
  <si>
    <t>Using a formula, find the value of in the cell which is highlighted in green without directly referencing the cell</t>
  </si>
  <si>
    <t>Put your formula here</t>
  </si>
  <si>
    <t>How many units did Bob Sell on 6/5/2014</t>
  </si>
  <si>
    <t>Answer the following questions with formulas</t>
  </si>
  <si>
    <t>Answer the following questions</t>
  </si>
  <si>
    <t>Using formulas, dynamically parse out the campaign names for GEO, INTEREST, DEVICE, PRICING and ID (without using text to columns feature). Show your work</t>
  </si>
  <si>
    <t>For 4/13, What are the totals for the following metrics across all partners A-E?</t>
  </si>
  <si>
    <t>Click to Install Rate - Installs/Clicks</t>
  </si>
  <si>
    <t>When looking at total averages, what partner had the highest value for each metric and what was that value?</t>
  </si>
  <si>
    <t>Sum of CPC_monthly</t>
  </si>
  <si>
    <t>Sum of CPI_monthly</t>
  </si>
  <si>
    <t>Sum of CTR_monthly</t>
  </si>
  <si>
    <t>Sum of CTI_monthly</t>
  </si>
  <si>
    <t>Sum of eCPM_monthly</t>
  </si>
  <si>
    <t>Mar</t>
  </si>
  <si>
    <t>Apr</t>
  </si>
  <si>
    <t>May</t>
  </si>
  <si>
    <t>Grand Total</t>
  </si>
  <si>
    <t>Using Pivot Table, and Calculated Field functionality  create  April Total Monthly CPI, CPC, CTR, CTI, eCPM table as shown below.</t>
  </si>
  <si>
    <t>Months</t>
  </si>
  <si>
    <t>Row Labels</t>
  </si>
  <si>
    <t>Sum of Units Sold</t>
  </si>
  <si>
    <t>Alternate Solutions</t>
  </si>
  <si>
    <t>Sum of Revenue</t>
  </si>
  <si>
    <t>Pivot Table References:</t>
  </si>
  <si>
    <t>I have used conditional formatting to highlight the duplicate rows and grouped to get the row values.</t>
  </si>
  <si>
    <t>since publishers IDs are unique, I have used max function on spend column to find the maximum spend of publisher then I used COUNTIF function to count the records that has maximum spend amount and finally used INDEX and MATCH function to find the publisher IDs that have the same maximum spend value. From given data, only one id matched under the given criteria.</t>
  </si>
  <si>
    <t>Pivot Table Solution</t>
  </si>
  <si>
    <t>144 and 238</t>
  </si>
  <si>
    <t>Graph for visualizing the trend of impression and eCPM over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</si>
</sst>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quot;$&quot;#,##0.00"/>
  </numFmts>
  <fonts count="11"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u/>
      <sz val="11"/>
      <color theme="10"/>
      <name val="Calibri"/>
      <family val="2"/>
      <scheme val="minor"/>
    </font>
    <font>
      <u/>
      <sz val="11"/>
      <color theme="11"/>
      <name val="Calibri"/>
      <family val="2"/>
      <scheme val="minor"/>
    </font>
    <font>
      <b/>
      <sz val="8"/>
      <color rgb="FF0A0101"/>
      <name val="Arial"/>
      <family val="2"/>
    </font>
    <font>
      <sz val="11"/>
      <color rgb="FF1E1E1E"/>
      <name val="Calibri"/>
      <family val="2"/>
      <scheme val="minor"/>
    </font>
    <font>
      <sz val="11"/>
      <name val="Calibri"/>
      <family val="2"/>
      <scheme val="minor"/>
    </font>
    <font>
      <sz val="8"/>
      <color rgb="FF535A60"/>
      <name val="Segoe UI"/>
      <family val="2"/>
    </font>
    <font>
      <sz val="11"/>
      <color rgb="FF454545"/>
      <name val="Calibri"/>
      <family val="2"/>
      <scheme val="minor"/>
    </font>
  </fonts>
  <fills count="20">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bgColor indexed="64"/>
      </patternFill>
    </fill>
    <fill>
      <patternFill patternType="solid">
        <fgColor theme="5"/>
        <bgColor indexed="64"/>
      </patternFill>
    </fill>
    <fill>
      <patternFill patternType="solid">
        <fgColor theme="7"/>
        <bgColor indexed="64"/>
      </patternFill>
    </fill>
    <fill>
      <patternFill patternType="solid">
        <fgColor theme="6"/>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92D05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9" tint="0.59999389629810485"/>
        <bgColor indexed="64"/>
      </patternFill>
    </fill>
  </fills>
  <borders count="3">
    <border>
      <left/>
      <right/>
      <top/>
      <bottom/>
      <diagonal/>
    </border>
    <border>
      <left style="thin">
        <color auto="1"/>
      </left>
      <right/>
      <top/>
      <bottom/>
      <diagonal/>
    </border>
    <border>
      <left/>
      <right/>
      <top style="thin">
        <color auto="1"/>
      </top>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72">
    <xf numFmtId="0" fontId="0" fillId="0" borderId="0" xfId="0"/>
    <xf numFmtId="14" fontId="0" fillId="0" borderId="0" xfId="0" applyNumberFormat="1"/>
    <xf numFmtId="44" fontId="0" fillId="0" borderId="0" xfId="2" applyFont="1"/>
    <xf numFmtId="10" fontId="0" fillId="0" borderId="0" xfId="3" applyNumberFormat="1" applyFont="1"/>
    <xf numFmtId="164" fontId="0" fillId="0" borderId="0" xfId="1" applyNumberFormat="1" applyFont="1"/>
    <xf numFmtId="0" fontId="2" fillId="3" borderId="0" xfId="0" applyFont="1" applyFill="1"/>
    <xf numFmtId="164" fontId="2" fillId="3" borderId="0" xfId="1" applyNumberFormat="1" applyFont="1" applyFill="1"/>
    <xf numFmtId="44" fontId="2" fillId="3" borderId="0" xfId="2" applyFont="1" applyFill="1"/>
    <xf numFmtId="10" fontId="2" fillId="3" borderId="0" xfId="3" applyNumberFormat="1" applyFont="1" applyFill="1"/>
    <xf numFmtId="0" fontId="0" fillId="3" borderId="0" xfId="0" applyFill="1"/>
    <xf numFmtId="164" fontId="2" fillId="3" borderId="1" xfId="1" applyNumberFormat="1" applyFont="1" applyFill="1" applyBorder="1"/>
    <xf numFmtId="164" fontId="0" fillId="0" borderId="1" xfId="1" applyNumberFormat="1" applyFont="1" applyBorder="1"/>
    <xf numFmtId="164" fontId="0" fillId="0" borderId="2" xfId="1" applyNumberFormat="1" applyFont="1" applyBorder="1"/>
    <xf numFmtId="44" fontId="0" fillId="0" borderId="2" xfId="2" applyFont="1" applyBorder="1"/>
    <xf numFmtId="0" fontId="0" fillId="0" borderId="0" xfId="0" applyAlignment="1">
      <alignment horizontal="left"/>
    </xf>
    <xf numFmtId="0" fontId="2" fillId="0" borderId="0" xfId="0" applyFont="1"/>
    <xf numFmtId="0" fontId="0" fillId="10" borderId="0" xfId="0" applyFill="1"/>
    <xf numFmtId="14" fontId="0" fillId="0" borderId="0" xfId="0" applyNumberFormat="1" applyAlignment="1">
      <alignment horizontal="left"/>
    </xf>
    <xf numFmtId="0" fontId="0" fillId="0" borderId="0" xfId="0" applyNumberFormat="1"/>
    <xf numFmtId="44" fontId="2" fillId="0" borderId="0" xfId="2" applyFont="1"/>
    <xf numFmtId="164" fontId="2" fillId="0" borderId="0" xfId="1" applyNumberFormat="1" applyFont="1"/>
    <xf numFmtId="44" fontId="0" fillId="0" borderId="0" xfId="0" applyNumberFormat="1"/>
    <xf numFmtId="0" fontId="0" fillId="13" borderId="0" xfId="0" applyFill="1"/>
    <xf numFmtId="44" fontId="0" fillId="13" borderId="0" xfId="2" applyFont="1" applyFill="1"/>
    <xf numFmtId="0" fontId="0" fillId="4" borderId="0" xfId="0" applyFill="1"/>
    <xf numFmtId="0" fontId="0" fillId="14" borderId="0" xfId="0" applyFill="1"/>
    <xf numFmtId="0" fontId="0" fillId="10" borderId="0" xfId="0" applyFill="1" applyAlignment="1">
      <alignment horizontal="center"/>
    </xf>
    <xf numFmtId="44" fontId="0" fillId="10" borderId="0" xfId="0" applyNumberFormat="1" applyFill="1"/>
    <xf numFmtId="0" fontId="6" fillId="0" borderId="0" xfId="0" applyFont="1"/>
    <xf numFmtId="0" fontId="0" fillId="10" borderId="0" xfId="0" applyFill="1" applyAlignment="1">
      <alignment horizontal="center" vertical="center"/>
    </xf>
    <xf numFmtId="44" fontId="0" fillId="10" borderId="0" xfId="2" applyFont="1" applyFill="1"/>
    <xf numFmtId="10" fontId="0" fillId="10" borderId="0" xfId="3" applyNumberFormat="1" applyFont="1" applyFill="1"/>
    <xf numFmtId="0" fontId="0" fillId="0" borderId="0" xfId="0" pivotButton="1"/>
    <xf numFmtId="14" fontId="0" fillId="0" borderId="0" xfId="0" applyNumberFormat="1" applyAlignment="1">
      <alignment horizontal="left" indent="1"/>
    </xf>
    <xf numFmtId="165" fontId="0" fillId="0" borderId="0" xfId="0" applyNumberFormat="1"/>
    <xf numFmtId="0" fontId="2" fillId="15" borderId="0" xfId="0" applyFont="1" applyFill="1"/>
    <xf numFmtId="0" fontId="8" fillId="0" borderId="0" xfId="0" applyFont="1"/>
    <xf numFmtId="0" fontId="8" fillId="10" borderId="0" xfId="0" applyFont="1" applyFill="1" applyAlignment="1">
      <alignment horizontal="center"/>
    </xf>
    <xf numFmtId="0" fontId="7" fillId="10" borderId="0" xfId="0" applyFont="1" applyFill="1" applyAlignment="1">
      <alignment horizontal="center"/>
    </xf>
    <xf numFmtId="164" fontId="2" fillId="8" borderId="0" xfId="1" applyNumberFormat="1" applyFont="1" applyFill="1" applyAlignment="1">
      <alignment wrapText="1"/>
    </xf>
    <xf numFmtId="0" fontId="9" fillId="0" borderId="0" xfId="0" applyFont="1"/>
    <xf numFmtId="2" fontId="0" fillId="0" borderId="0" xfId="2" applyNumberFormat="1" applyFont="1"/>
    <xf numFmtId="44" fontId="2" fillId="16" borderId="0" xfId="2" applyFont="1" applyFill="1"/>
    <xf numFmtId="0" fontId="2" fillId="16" borderId="0" xfId="0" applyFont="1" applyFill="1"/>
    <xf numFmtId="10" fontId="2" fillId="16" borderId="0" xfId="3" applyNumberFormat="1" applyFont="1" applyFill="1"/>
    <xf numFmtId="164" fontId="2" fillId="16" borderId="1" xfId="1" applyNumberFormat="1" applyFont="1" applyFill="1" applyBorder="1"/>
    <xf numFmtId="164" fontId="2" fillId="16" borderId="0" xfId="1" applyNumberFormat="1" applyFont="1" applyFill="1"/>
    <xf numFmtId="0" fontId="2" fillId="0" borderId="0" xfId="0" applyFont="1" applyAlignment="1">
      <alignment horizontal="center"/>
    </xf>
    <xf numFmtId="0" fontId="0" fillId="16" borderId="0" xfId="0" applyFill="1"/>
    <xf numFmtId="3" fontId="0" fillId="10" borderId="0" xfId="0" applyNumberFormat="1" applyFill="1" applyAlignment="1">
      <alignment horizontal="center"/>
    </xf>
    <xf numFmtId="44" fontId="0" fillId="17" borderId="0" xfId="2" applyFont="1" applyFill="1"/>
    <xf numFmtId="10" fontId="0" fillId="17" borderId="0" xfId="3" applyNumberFormat="1" applyFont="1" applyFill="1"/>
    <xf numFmtId="0" fontId="2" fillId="9" borderId="0" xfId="0" applyFont="1" applyFill="1" applyAlignment="1">
      <alignment horizontal="center"/>
    </xf>
    <xf numFmtId="164" fontId="2" fillId="2" borderId="0" xfId="1" applyNumberFormat="1" applyFont="1" applyFill="1" applyAlignment="1">
      <alignment horizontal="center" wrapText="1"/>
    </xf>
    <xf numFmtId="164" fontId="2" fillId="4" borderId="0" xfId="1" applyNumberFormat="1" applyFont="1" applyFill="1" applyAlignment="1">
      <alignment horizontal="center" wrapText="1"/>
    </xf>
    <xf numFmtId="164" fontId="2" fillId="5" borderId="0" xfId="1" applyNumberFormat="1" applyFont="1" applyFill="1" applyAlignment="1">
      <alignment horizontal="center" wrapText="1"/>
    </xf>
    <xf numFmtId="164" fontId="2" fillId="6" borderId="0" xfId="1" applyNumberFormat="1" applyFont="1" applyFill="1" applyAlignment="1">
      <alignment horizontal="center" wrapText="1"/>
    </xf>
    <xf numFmtId="164" fontId="2" fillId="7" borderId="0" xfId="1" applyNumberFormat="1" applyFont="1" applyFill="1" applyAlignment="1">
      <alignment horizontal="center" wrapText="1"/>
    </xf>
    <xf numFmtId="0" fontId="2" fillId="11" borderId="0" xfId="0" applyFont="1" applyFill="1" applyAlignment="1">
      <alignment horizontal="center" vertical="center" wrapText="1"/>
    </xf>
    <xf numFmtId="0" fontId="2" fillId="11" borderId="0" xfId="0" applyFont="1" applyFill="1" applyAlignment="1">
      <alignment horizontal="center" wrapText="1"/>
    </xf>
    <xf numFmtId="0" fontId="3" fillId="11" borderId="0" xfId="0" applyFont="1" applyFill="1" applyAlignment="1">
      <alignment horizontal="center" vertical="center" wrapText="1"/>
    </xf>
    <xf numFmtId="0" fontId="0" fillId="10" borderId="0" xfId="0" applyFill="1" applyAlignment="1">
      <alignment horizontal="center" vertical="center"/>
    </xf>
    <xf numFmtId="0" fontId="2" fillId="12" borderId="0" xfId="0" applyFont="1" applyFill="1" applyAlignment="1">
      <alignment horizontal="center"/>
    </xf>
    <xf numFmtId="0" fontId="2" fillId="11" borderId="0" xfId="0" applyFont="1" applyFill="1" applyAlignment="1">
      <alignment horizontal="center" vertical="center"/>
    </xf>
    <xf numFmtId="0" fontId="2" fillId="0" borderId="0" xfId="0" applyFont="1" applyAlignment="1">
      <alignment horizontal="center" wrapText="1"/>
    </xf>
    <xf numFmtId="0" fontId="10" fillId="0" borderId="0" xfId="0" applyFont="1"/>
    <xf numFmtId="0" fontId="0" fillId="18" borderId="0" xfId="0" applyFill="1" applyAlignment="1">
      <alignment horizontal="center"/>
    </xf>
    <xf numFmtId="0" fontId="0" fillId="19" borderId="0" xfId="0" applyFill="1"/>
    <xf numFmtId="164" fontId="0" fillId="16" borderId="1" xfId="1" applyNumberFormat="1" applyFont="1" applyFill="1" applyBorder="1"/>
    <xf numFmtId="44" fontId="0" fillId="16" borderId="0" xfId="2" applyFont="1" applyFill="1"/>
    <xf numFmtId="164" fontId="0" fillId="16" borderId="0" xfId="1" applyNumberFormat="1" applyFont="1" applyFill="1"/>
    <xf numFmtId="10" fontId="0" fillId="16" borderId="0" xfId="3" applyNumberFormat="1" applyFont="1" applyFill="1"/>
  </cellXfs>
  <cellStyles count="8">
    <cellStyle name="Comma" xfId="1" builtinId="3"/>
    <cellStyle name="Currency" xfId="2" builtinId="4"/>
    <cellStyle name="Followed Hyperlink" xfId="5" builtinId="9" hidden="1"/>
    <cellStyle name="Followed Hyperlink" xfId="7" builtinId="9" hidden="1"/>
    <cellStyle name="Hyperlink" xfId="4" builtinId="8" hidden="1"/>
    <cellStyle name="Hyperlink" xfId="6" builtinId="8" hidden="1"/>
    <cellStyle name="Normal" xfId="0" builtinId="0"/>
    <cellStyle name="Percent" xfId="3" builtinId="5"/>
  </cellStyles>
  <dxfs count="7">
    <dxf>
      <border>
        <left style="thin">
          <color rgb="FF9C0006"/>
        </left>
        <right style="thin">
          <color rgb="FF9C0006"/>
        </right>
        <top style="thin">
          <color rgb="FF9C0006"/>
        </top>
        <bottom style="thin">
          <color rgb="FF9C0006"/>
        </bottom>
      </border>
    </dxf>
    <dxf>
      <font>
        <color rgb="FF9C0006"/>
      </font>
      <fill>
        <patternFill>
          <bgColor rgb="FFFFC7CE"/>
        </patternFill>
      </fill>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'spend data'!$A$34:$A$63</c:f>
              <c:numCache>
                <c:formatCode>m/d/yyyy</c:formatCode>
                <c:ptCount val="30"/>
                <c:pt idx="0">
                  <c:v>41730</c:v>
                </c:pt>
                <c:pt idx="1">
                  <c:v>41731</c:v>
                </c:pt>
                <c:pt idx="2">
                  <c:v>41732</c:v>
                </c:pt>
                <c:pt idx="3">
                  <c:v>41733</c:v>
                </c:pt>
                <c:pt idx="4">
                  <c:v>41734</c:v>
                </c:pt>
                <c:pt idx="5">
                  <c:v>41735</c:v>
                </c:pt>
                <c:pt idx="6">
                  <c:v>41736</c:v>
                </c:pt>
                <c:pt idx="7">
                  <c:v>41737</c:v>
                </c:pt>
                <c:pt idx="8">
                  <c:v>41738</c:v>
                </c:pt>
                <c:pt idx="9">
                  <c:v>41739</c:v>
                </c:pt>
                <c:pt idx="10">
                  <c:v>41740</c:v>
                </c:pt>
                <c:pt idx="11">
                  <c:v>41741</c:v>
                </c:pt>
                <c:pt idx="12">
                  <c:v>41742</c:v>
                </c:pt>
                <c:pt idx="13">
                  <c:v>41743</c:v>
                </c:pt>
                <c:pt idx="14">
                  <c:v>41744</c:v>
                </c:pt>
                <c:pt idx="15">
                  <c:v>41745</c:v>
                </c:pt>
                <c:pt idx="16">
                  <c:v>41746</c:v>
                </c:pt>
                <c:pt idx="17">
                  <c:v>41747</c:v>
                </c:pt>
                <c:pt idx="18">
                  <c:v>41748</c:v>
                </c:pt>
                <c:pt idx="19">
                  <c:v>41749</c:v>
                </c:pt>
                <c:pt idx="20">
                  <c:v>41750</c:v>
                </c:pt>
                <c:pt idx="21">
                  <c:v>41751</c:v>
                </c:pt>
                <c:pt idx="22">
                  <c:v>41752</c:v>
                </c:pt>
                <c:pt idx="23">
                  <c:v>41753</c:v>
                </c:pt>
                <c:pt idx="24">
                  <c:v>41754</c:v>
                </c:pt>
                <c:pt idx="25">
                  <c:v>41755</c:v>
                </c:pt>
                <c:pt idx="26">
                  <c:v>41756</c:v>
                </c:pt>
                <c:pt idx="27">
                  <c:v>41757</c:v>
                </c:pt>
                <c:pt idx="28">
                  <c:v>41758</c:v>
                </c:pt>
                <c:pt idx="29">
                  <c:v>41759</c:v>
                </c:pt>
              </c:numCache>
            </c:numRef>
          </c:cat>
          <c:val>
            <c:numRef>
              <c:f>'spend data'!$AU$34:$AU$63</c:f>
              <c:numCache>
                <c:formatCode>_(* #,##0_);_(* \(#,##0\);_(* "-"??_);_(@_)</c:formatCode>
                <c:ptCount val="30"/>
                <c:pt idx="0">
                  <c:v>1260000</c:v>
                </c:pt>
                <c:pt idx="1">
                  <c:v>1190000</c:v>
                </c:pt>
                <c:pt idx="2">
                  <c:v>1610000</c:v>
                </c:pt>
                <c:pt idx="3">
                  <c:v>1530000</c:v>
                </c:pt>
                <c:pt idx="4">
                  <c:v>1460000</c:v>
                </c:pt>
                <c:pt idx="5">
                  <c:v>1400000</c:v>
                </c:pt>
                <c:pt idx="6">
                  <c:v>1460000</c:v>
                </c:pt>
                <c:pt idx="7">
                  <c:v>820000</c:v>
                </c:pt>
                <c:pt idx="8">
                  <c:v>1670000</c:v>
                </c:pt>
                <c:pt idx="9">
                  <c:v>780000</c:v>
                </c:pt>
                <c:pt idx="10">
                  <c:v>1550000</c:v>
                </c:pt>
                <c:pt idx="11">
                  <c:v>1360000</c:v>
                </c:pt>
                <c:pt idx="12">
                  <c:v>1510000</c:v>
                </c:pt>
                <c:pt idx="13">
                  <c:v>1140000</c:v>
                </c:pt>
                <c:pt idx="14">
                  <c:v>1240000</c:v>
                </c:pt>
                <c:pt idx="15">
                  <c:v>1170000</c:v>
                </c:pt>
                <c:pt idx="16">
                  <c:v>1180000</c:v>
                </c:pt>
                <c:pt idx="17">
                  <c:v>1240000</c:v>
                </c:pt>
                <c:pt idx="18">
                  <c:v>1320000</c:v>
                </c:pt>
                <c:pt idx="19">
                  <c:v>960000</c:v>
                </c:pt>
                <c:pt idx="20">
                  <c:v>1630000</c:v>
                </c:pt>
                <c:pt idx="21">
                  <c:v>880000</c:v>
                </c:pt>
                <c:pt idx="22">
                  <c:v>1290000</c:v>
                </c:pt>
                <c:pt idx="23">
                  <c:v>1180000</c:v>
                </c:pt>
                <c:pt idx="24">
                  <c:v>1920000</c:v>
                </c:pt>
                <c:pt idx="25">
                  <c:v>1320000</c:v>
                </c:pt>
                <c:pt idx="26">
                  <c:v>1150000</c:v>
                </c:pt>
                <c:pt idx="27">
                  <c:v>1330000</c:v>
                </c:pt>
                <c:pt idx="28">
                  <c:v>1380000</c:v>
                </c:pt>
                <c:pt idx="29">
                  <c:v>1320000</c:v>
                </c:pt>
              </c:numCache>
            </c:numRef>
          </c:val>
          <c:extLst>
            <c:ext xmlns:c16="http://schemas.microsoft.com/office/drawing/2014/chart" uri="{C3380CC4-5D6E-409C-BE32-E72D297353CC}">
              <c16:uniqueId val="{00000000-4A2F-454C-BFFB-A052E33AF38E}"/>
            </c:ext>
          </c:extLst>
        </c:ser>
        <c:dLbls>
          <c:showLegendKey val="0"/>
          <c:showVal val="0"/>
          <c:showCatName val="0"/>
          <c:showSerName val="0"/>
          <c:showPercent val="0"/>
          <c:showBubbleSize val="0"/>
        </c:dLbls>
        <c:gapWidth val="150"/>
        <c:axId val="236419488"/>
        <c:axId val="236418656"/>
      </c:barChart>
      <c:lineChart>
        <c:grouping val="standard"/>
        <c:varyColors val="0"/>
        <c:ser>
          <c:idx val="1"/>
          <c:order val="1"/>
          <c:spPr>
            <a:ln w="28575" cap="rnd">
              <a:solidFill>
                <a:schemeClr val="accent2"/>
              </a:solidFill>
              <a:round/>
            </a:ln>
            <a:effectLst/>
          </c:spPr>
          <c:marker>
            <c:symbol val="none"/>
          </c:marker>
          <c:val>
            <c:numRef>
              <c:f>'spend data'!$BC$34:$BC$63</c:f>
              <c:numCache>
                <c:formatCode>_("$"* #,##0.00_);_("$"* \(#,##0.00\);_("$"* "-"??_);_(@_)</c:formatCode>
                <c:ptCount val="30"/>
                <c:pt idx="0">
                  <c:v>2.6388888888888888</c:v>
                </c:pt>
                <c:pt idx="1">
                  <c:v>2.2268907563025211</c:v>
                </c:pt>
                <c:pt idx="2">
                  <c:v>3.3074534161490683</c:v>
                </c:pt>
                <c:pt idx="3">
                  <c:v>2.0098039215686274</c:v>
                </c:pt>
                <c:pt idx="4">
                  <c:v>2.3116438356164384</c:v>
                </c:pt>
                <c:pt idx="5">
                  <c:v>2.6607142857142856</c:v>
                </c:pt>
                <c:pt idx="6">
                  <c:v>2.4315068493150687</c:v>
                </c:pt>
                <c:pt idx="7">
                  <c:v>5.0609756097560972</c:v>
                </c:pt>
                <c:pt idx="8">
                  <c:v>1.841317365269461</c:v>
                </c:pt>
                <c:pt idx="9">
                  <c:v>4.3589743589743586</c:v>
                </c:pt>
                <c:pt idx="10">
                  <c:v>2.1451612903225805</c:v>
                </c:pt>
                <c:pt idx="11">
                  <c:v>2.5367647058823528</c:v>
                </c:pt>
                <c:pt idx="12">
                  <c:v>1.8211920529801324</c:v>
                </c:pt>
                <c:pt idx="13">
                  <c:v>3.5087719298245612</c:v>
                </c:pt>
                <c:pt idx="14">
                  <c:v>3.3870967741935485</c:v>
                </c:pt>
                <c:pt idx="15">
                  <c:v>3.3974358974358974</c:v>
                </c:pt>
                <c:pt idx="16">
                  <c:v>1.5466101694915255</c:v>
                </c:pt>
                <c:pt idx="17">
                  <c:v>3.064516129032258</c:v>
                </c:pt>
                <c:pt idx="18">
                  <c:v>1.4583333333333333</c:v>
                </c:pt>
                <c:pt idx="19">
                  <c:v>2.03125</c:v>
                </c:pt>
                <c:pt idx="20">
                  <c:v>2.1932515337423313</c:v>
                </c:pt>
                <c:pt idx="21">
                  <c:v>2.7272727272727271</c:v>
                </c:pt>
                <c:pt idx="22">
                  <c:v>2.441860465116279</c:v>
                </c:pt>
                <c:pt idx="23">
                  <c:v>4.1313559322033901</c:v>
                </c:pt>
                <c:pt idx="24">
                  <c:v>1.875</c:v>
                </c:pt>
                <c:pt idx="25">
                  <c:v>2.7651515151515151</c:v>
                </c:pt>
                <c:pt idx="26">
                  <c:v>4.3913043478260869</c:v>
                </c:pt>
                <c:pt idx="27">
                  <c:v>2.0864661654135337</c:v>
                </c:pt>
                <c:pt idx="28">
                  <c:v>3.1340579710144927</c:v>
                </c:pt>
                <c:pt idx="29">
                  <c:v>1.4772727272727273</c:v>
                </c:pt>
              </c:numCache>
            </c:numRef>
          </c:val>
          <c:smooth val="0"/>
          <c:extLst>
            <c:ext xmlns:c16="http://schemas.microsoft.com/office/drawing/2014/chart" uri="{C3380CC4-5D6E-409C-BE32-E72D297353CC}">
              <c16:uniqueId val="{00000001-4A2F-454C-BFFB-A052E33AF38E}"/>
            </c:ext>
          </c:extLst>
        </c:ser>
        <c:dLbls>
          <c:showLegendKey val="0"/>
          <c:showVal val="0"/>
          <c:showCatName val="0"/>
          <c:showSerName val="0"/>
          <c:showPercent val="0"/>
          <c:showBubbleSize val="0"/>
        </c:dLbls>
        <c:marker val="1"/>
        <c:smooth val="0"/>
        <c:axId val="247941856"/>
        <c:axId val="247937280"/>
      </c:lineChart>
      <c:catAx>
        <c:axId val="247941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937280"/>
        <c:crosses val="autoZero"/>
        <c:auto val="1"/>
        <c:lblAlgn val="ctr"/>
        <c:lblOffset val="100"/>
        <c:noMultiLvlLbl val="0"/>
      </c:catAx>
      <c:valAx>
        <c:axId val="24793728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941856"/>
        <c:crosses val="autoZero"/>
        <c:crossBetween val="between"/>
      </c:valAx>
      <c:valAx>
        <c:axId val="236418656"/>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419488"/>
        <c:crosses val="max"/>
        <c:crossBetween val="between"/>
      </c:valAx>
      <c:dateAx>
        <c:axId val="236419488"/>
        <c:scaling>
          <c:orientation val="minMax"/>
        </c:scaling>
        <c:delete val="1"/>
        <c:axPos val="b"/>
        <c:numFmt formatCode="m/d/yyyy" sourceLinked="1"/>
        <c:majorTickMark val="out"/>
        <c:minorTickMark val="none"/>
        <c:tickLblPos val="nextTo"/>
        <c:crossAx val="236418656"/>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Impression vs eCPM</a:t>
            </a:r>
          </a:p>
          <a:p>
            <a:pPr>
              <a:defRPr/>
            </a:pPr>
            <a:r>
              <a:rPr lang="en-US"/>
              <a:t>(April</a:t>
            </a:r>
            <a:r>
              <a:rPr lang="en-US" baseline="0"/>
              <a:t> 01 - April 30)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Impressions</c:v>
          </c:tx>
          <c:spPr>
            <a:solidFill>
              <a:schemeClr val="tx2">
                <a:lumMod val="40000"/>
                <a:lumOff val="60000"/>
              </a:schemeClr>
            </a:solidFill>
            <a:ln>
              <a:solidFill>
                <a:schemeClr val="accent1"/>
              </a:solidFill>
            </a:ln>
            <a:effectLst>
              <a:glow>
                <a:schemeClr val="accent1">
                  <a:alpha val="40000"/>
                </a:schemeClr>
              </a:glow>
              <a:softEdge rad="0"/>
            </a:effectLst>
          </c:spPr>
          <c:invertIfNegative val="0"/>
          <c:val>
            <c:numRef>
              <c:f>'spend data'!$AU$34:$AU$63</c:f>
              <c:numCache>
                <c:formatCode>_(* #,##0_);_(* \(#,##0\);_(* "-"??_);_(@_)</c:formatCode>
                <c:ptCount val="30"/>
                <c:pt idx="0">
                  <c:v>1260000</c:v>
                </c:pt>
                <c:pt idx="1">
                  <c:v>1190000</c:v>
                </c:pt>
                <c:pt idx="2">
                  <c:v>1610000</c:v>
                </c:pt>
                <c:pt idx="3">
                  <c:v>1530000</c:v>
                </c:pt>
                <c:pt idx="4">
                  <c:v>1460000</c:v>
                </c:pt>
                <c:pt idx="5">
                  <c:v>1400000</c:v>
                </c:pt>
                <c:pt idx="6">
                  <c:v>1460000</c:v>
                </c:pt>
                <c:pt idx="7">
                  <c:v>820000</c:v>
                </c:pt>
                <c:pt idx="8">
                  <c:v>1670000</c:v>
                </c:pt>
                <c:pt idx="9">
                  <c:v>780000</c:v>
                </c:pt>
                <c:pt idx="10">
                  <c:v>1550000</c:v>
                </c:pt>
                <c:pt idx="11">
                  <c:v>1360000</c:v>
                </c:pt>
                <c:pt idx="12">
                  <c:v>1510000</c:v>
                </c:pt>
                <c:pt idx="13">
                  <c:v>1140000</c:v>
                </c:pt>
                <c:pt idx="14">
                  <c:v>1240000</c:v>
                </c:pt>
                <c:pt idx="15">
                  <c:v>1170000</c:v>
                </c:pt>
                <c:pt idx="16">
                  <c:v>1180000</c:v>
                </c:pt>
                <c:pt idx="17">
                  <c:v>1240000</c:v>
                </c:pt>
                <c:pt idx="18">
                  <c:v>1320000</c:v>
                </c:pt>
                <c:pt idx="19">
                  <c:v>960000</c:v>
                </c:pt>
                <c:pt idx="20">
                  <c:v>1630000</c:v>
                </c:pt>
                <c:pt idx="21">
                  <c:v>880000</c:v>
                </c:pt>
                <c:pt idx="22">
                  <c:v>1290000</c:v>
                </c:pt>
                <c:pt idx="23">
                  <c:v>1180000</c:v>
                </c:pt>
                <c:pt idx="24">
                  <c:v>1920000</c:v>
                </c:pt>
                <c:pt idx="25">
                  <c:v>1320000</c:v>
                </c:pt>
                <c:pt idx="26">
                  <c:v>1150000</c:v>
                </c:pt>
                <c:pt idx="27">
                  <c:v>1330000</c:v>
                </c:pt>
                <c:pt idx="28">
                  <c:v>1380000</c:v>
                </c:pt>
                <c:pt idx="29">
                  <c:v>1320000</c:v>
                </c:pt>
              </c:numCache>
            </c:numRef>
          </c:val>
          <c:extLst>
            <c:ext xmlns:c16="http://schemas.microsoft.com/office/drawing/2014/chart" uri="{C3380CC4-5D6E-409C-BE32-E72D297353CC}">
              <c16:uniqueId val="{00000000-6894-4067-9EB0-7C046C2D2178}"/>
            </c:ext>
          </c:extLst>
        </c:ser>
        <c:dLbls>
          <c:showLegendKey val="0"/>
          <c:showVal val="0"/>
          <c:showCatName val="0"/>
          <c:showSerName val="0"/>
          <c:showPercent val="0"/>
          <c:showBubbleSize val="0"/>
        </c:dLbls>
        <c:gapWidth val="0"/>
        <c:axId val="236418656"/>
        <c:axId val="72688720"/>
      </c:barChart>
      <c:lineChart>
        <c:grouping val="standard"/>
        <c:varyColors val="0"/>
        <c:ser>
          <c:idx val="1"/>
          <c:order val="1"/>
          <c:tx>
            <c:v>eCPM</c:v>
          </c:tx>
          <c:spPr>
            <a:ln w="28575" cap="rnd">
              <a:solidFill>
                <a:schemeClr val="accent2"/>
              </a:solidFill>
              <a:round/>
            </a:ln>
            <a:effectLst/>
          </c:spPr>
          <c:marker>
            <c:symbol val="none"/>
          </c:marker>
          <c:cat>
            <c:numRef>
              <c:f>'spend data'!$A$34:$A$63</c:f>
              <c:numCache>
                <c:formatCode>m/d/yyyy</c:formatCode>
                <c:ptCount val="30"/>
                <c:pt idx="0">
                  <c:v>41730</c:v>
                </c:pt>
                <c:pt idx="1">
                  <c:v>41731</c:v>
                </c:pt>
                <c:pt idx="2">
                  <c:v>41732</c:v>
                </c:pt>
                <c:pt idx="3">
                  <c:v>41733</c:v>
                </c:pt>
                <c:pt idx="4">
                  <c:v>41734</c:v>
                </c:pt>
                <c:pt idx="5">
                  <c:v>41735</c:v>
                </c:pt>
                <c:pt idx="6">
                  <c:v>41736</c:v>
                </c:pt>
                <c:pt idx="7">
                  <c:v>41737</c:v>
                </c:pt>
                <c:pt idx="8">
                  <c:v>41738</c:v>
                </c:pt>
                <c:pt idx="9">
                  <c:v>41739</c:v>
                </c:pt>
                <c:pt idx="10">
                  <c:v>41740</c:v>
                </c:pt>
                <c:pt idx="11">
                  <c:v>41741</c:v>
                </c:pt>
                <c:pt idx="12">
                  <c:v>41742</c:v>
                </c:pt>
                <c:pt idx="13">
                  <c:v>41743</c:v>
                </c:pt>
                <c:pt idx="14">
                  <c:v>41744</c:v>
                </c:pt>
                <c:pt idx="15">
                  <c:v>41745</c:v>
                </c:pt>
                <c:pt idx="16">
                  <c:v>41746</c:v>
                </c:pt>
                <c:pt idx="17">
                  <c:v>41747</c:v>
                </c:pt>
                <c:pt idx="18">
                  <c:v>41748</c:v>
                </c:pt>
                <c:pt idx="19">
                  <c:v>41749</c:v>
                </c:pt>
                <c:pt idx="20">
                  <c:v>41750</c:v>
                </c:pt>
                <c:pt idx="21">
                  <c:v>41751</c:v>
                </c:pt>
                <c:pt idx="22">
                  <c:v>41752</c:v>
                </c:pt>
                <c:pt idx="23">
                  <c:v>41753</c:v>
                </c:pt>
                <c:pt idx="24">
                  <c:v>41754</c:v>
                </c:pt>
                <c:pt idx="25">
                  <c:v>41755</c:v>
                </c:pt>
                <c:pt idx="26">
                  <c:v>41756</c:v>
                </c:pt>
                <c:pt idx="27">
                  <c:v>41757</c:v>
                </c:pt>
                <c:pt idx="28">
                  <c:v>41758</c:v>
                </c:pt>
                <c:pt idx="29">
                  <c:v>41759</c:v>
                </c:pt>
              </c:numCache>
            </c:numRef>
          </c:cat>
          <c:val>
            <c:numRef>
              <c:f>'spend data'!$BC$34:$BC$63</c:f>
              <c:numCache>
                <c:formatCode>_("$"* #,##0.00_);_("$"* \(#,##0.00\);_("$"* "-"??_);_(@_)</c:formatCode>
                <c:ptCount val="30"/>
                <c:pt idx="0">
                  <c:v>2.6388888888888888</c:v>
                </c:pt>
                <c:pt idx="1">
                  <c:v>2.2268907563025211</c:v>
                </c:pt>
                <c:pt idx="2">
                  <c:v>3.3074534161490683</c:v>
                </c:pt>
                <c:pt idx="3">
                  <c:v>2.0098039215686274</c:v>
                </c:pt>
                <c:pt idx="4">
                  <c:v>2.3116438356164384</c:v>
                </c:pt>
                <c:pt idx="5">
                  <c:v>2.6607142857142856</c:v>
                </c:pt>
                <c:pt idx="6">
                  <c:v>2.4315068493150687</c:v>
                </c:pt>
                <c:pt idx="7">
                  <c:v>5.0609756097560972</c:v>
                </c:pt>
                <c:pt idx="8">
                  <c:v>1.841317365269461</c:v>
                </c:pt>
                <c:pt idx="9">
                  <c:v>4.3589743589743586</c:v>
                </c:pt>
                <c:pt idx="10">
                  <c:v>2.1451612903225805</c:v>
                </c:pt>
                <c:pt idx="11">
                  <c:v>2.5367647058823528</c:v>
                </c:pt>
                <c:pt idx="12">
                  <c:v>1.8211920529801324</c:v>
                </c:pt>
                <c:pt idx="13">
                  <c:v>3.5087719298245612</c:v>
                </c:pt>
                <c:pt idx="14">
                  <c:v>3.3870967741935485</c:v>
                </c:pt>
                <c:pt idx="15">
                  <c:v>3.3974358974358974</c:v>
                </c:pt>
                <c:pt idx="16">
                  <c:v>1.5466101694915255</c:v>
                </c:pt>
                <c:pt idx="17">
                  <c:v>3.064516129032258</c:v>
                </c:pt>
                <c:pt idx="18">
                  <c:v>1.4583333333333333</c:v>
                </c:pt>
                <c:pt idx="19">
                  <c:v>2.03125</c:v>
                </c:pt>
                <c:pt idx="20">
                  <c:v>2.1932515337423313</c:v>
                </c:pt>
                <c:pt idx="21">
                  <c:v>2.7272727272727271</c:v>
                </c:pt>
                <c:pt idx="22">
                  <c:v>2.441860465116279</c:v>
                </c:pt>
                <c:pt idx="23">
                  <c:v>4.1313559322033901</c:v>
                </c:pt>
                <c:pt idx="24">
                  <c:v>1.875</c:v>
                </c:pt>
                <c:pt idx="25">
                  <c:v>2.7651515151515151</c:v>
                </c:pt>
                <c:pt idx="26">
                  <c:v>4.3913043478260869</c:v>
                </c:pt>
                <c:pt idx="27">
                  <c:v>2.0864661654135337</c:v>
                </c:pt>
                <c:pt idx="28">
                  <c:v>3.1340579710144927</c:v>
                </c:pt>
                <c:pt idx="29">
                  <c:v>1.4772727272727273</c:v>
                </c:pt>
              </c:numCache>
            </c:numRef>
          </c:val>
          <c:smooth val="0"/>
          <c:extLst>
            <c:ext xmlns:c16="http://schemas.microsoft.com/office/drawing/2014/chart" uri="{C3380CC4-5D6E-409C-BE32-E72D297353CC}">
              <c16:uniqueId val="{00000001-6894-4067-9EB0-7C046C2D2178}"/>
            </c:ext>
          </c:extLst>
        </c:ser>
        <c:dLbls>
          <c:showLegendKey val="0"/>
          <c:showVal val="0"/>
          <c:showCatName val="0"/>
          <c:showSerName val="0"/>
          <c:showPercent val="0"/>
          <c:showBubbleSize val="0"/>
        </c:dLbls>
        <c:marker val="1"/>
        <c:smooth val="0"/>
        <c:axId val="236003024"/>
        <c:axId val="236003440"/>
      </c:lineChart>
      <c:dateAx>
        <c:axId val="23600302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003440"/>
        <c:crosses val="autoZero"/>
        <c:auto val="1"/>
        <c:lblOffset val="100"/>
        <c:baseTimeUnit val="days"/>
      </c:dateAx>
      <c:valAx>
        <c:axId val="23600344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003024"/>
        <c:crosses val="autoZero"/>
        <c:crossBetween val="between"/>
      </c:valAx>
      <c:valAx>
        <c:axId val="72688720"/>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418656"/>
        <c:crosses val="max"/>
        <c:crossBetween val="between"/>
      </c:valAx>
      <c:catAx>
        <c:axId val="236418656"/>
        <c:scaling>
          <c:orientation val="minMax"/>
        </c:scaling>
        <c:delete val="1"/>
        <c:axPos val="b"/>
        <c:majorTickMark val="out"/>
        <c:minorTickMark val="none"/>
        <c:tickLblPos val="nextTo"/>
        <c:crossAx val="726887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52</xdr:col>
      <xdr:colOff>15875</xdr:colOff>
      <xdr:row>41</xdr:row>
      <xdr:rowOff>111125</xdr:rowOff>
    </xdr:from>
    <xdr:to>
      <xdr:col>59</xdr:col>
      <xdr:colOff>276225</xdr:colOff>
      <xdr:row>56</xdr:row>
      <xdr:rowOff>92075</xdr:rowOff>
    </xdr:to>
    <xdr:graphicFrame macro="">
      <xdr:nvGraphicFramePr>
        <xdr:cNvPr id="2" name="Chart 5">
          <a:extLst>
            <a:ext uri="{FF2B5EF4-FFF2-40B4-BE49-F238E27FC236}">
              <a16:creationId xmlns:a16="http://schemas.microsoft.com/office/drawing/2014/main" id="{AAD52A97-D076-4919-A598-A891044864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xdr:row>
      <xdr:rowOff>88900</xdr:rowOff>
    </xdr:from>
    <xdr:to>
      <xdr:col>12</xdr:col>
      <xdr:colOff>38100</xdr:colOff>
      <xdr:row>37</xdr:row>
      <xdr:rowOff>0</xdr:rowOff>
    </xdr:to>
    <xdr:graphicFrame macro="">
      <xdr:nvGraphicFramePr>
        <xdr:cNvPr id="3" name="Chart 2">
          <a:extLst>
            <a:ext uri="{FF2B5EF4-FFF2-40B4-BE49-F238E27FC236}">
              <a16:creationId xmlns:a16="http://schemas.microsoft.com/office/drawing/2014/main" id="{0454854E-1CE6-490C-AF7E-77FE208282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365.846780902779" createdVersion="7" refreshedVersion="7" minRefreshableVersion="3" recordCount="72" xr:uid="{9536F749-FAC0-452E-9861-957F70C64FBC}">
  <cacheSource type="worksheet">
    <worksheetSource ref="A6:D78" sheet="part 7 of test"/>
  </cacheSource>
  <cacheFields count="4">
    <cacheField name="Date" numFmtId="14">
      <sharedItems containsSemiMixedTypes="0" containsNonDate="0" containsDate="1" containsString="0" minDate="2014-06-01T00:00:00" maxDate="2014-06-19T00:00:00" count="18">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sharedItems>
    </cacheField>
    <cacheField name="Units Sold" numFmtId="0">
      <sharedItems containsSemiMixedTypes="0" containsString="0" containsNumber="1" containsInteger="1" minValue="1" maxValue="100"/>
    </cacheField>
    <cacheField name="Revenue" numFmtId="44">
      <sharedItems containsSemiMixedTypes="0" containsString="0" containsNumber="1" containsInteger="1" minValue="64" maxValue="913"/>
    </cacheField>
    <cacheField name="Sales Person" numFmtId="0">
      <sharedItems count="4">
        <s v="Joe"/>
        <s v="John"/>
        <s v="Bob"/>
        <s v="Stev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n v="79"/>
    <n v="772"/>
    <x v="0"/>
  </r>
  <r>
    <x v="1"/>
    <n v="89"/>
    <n v="234"/>
    <x v="0"/>
  </r>
  <r>
    <x v="2"/>
    <n v="90"/>
    <n v="488"/>
    <x v="0"/>
  </r>
  <r>
    <x v="3"/>
    <n v="50"/>
    <n v="633"/>
    <x v="0"/>
  </r>
  <r>
    <x v="4"/>
    <n v="55"/>
    <n v="379"/>
    <x v="0"/>
  </r>
  <r>
    <x v="5"/>
    <n v="99"/>
    <n v="532"/>
    <x v="0"/>
  </r>
  <r>
    <x v="6"/>
    <n v="79"/>
    <n v="899"/>
    <x v="0"/>
  </r>
  <r>
    <x v="7"/>
    <n v="51"/>
    <n v="756"/>
    <x v="0"/>
  </r>
  <r>
    <x v="8"/>
    <n v="71"/>
    <n v="325"/>
    <x v="0"/>
  </r>
  <r>
    <x v="9"/>
    <n v="70"/>
    <n v="890"/>
    <x v="0"/>
  </r>
  <r>
    <x v="10"/>
    <n v="45"/>
    <n v="123"/>
    <x v="0"/>
  </r>
  <r>
    <x v="11"/>
    <n v="41"/>
    <n v="200"/>
    <x v="0"/>
  </r>
  <r>
    <x v="12"/>
    <n v="51"/>
    <n v="316"/>
    <x v="0"/>
  </r>
  <r>
    <x v="13"/>
    <n v="83"/>
    <n v="763"/>
    <x v="0"/>
  </r>
  <r>
    <x v="14"/>
    <n v="70"/>
    <n v="623"/>
    <x v="0"/>
  </r>
  <r>
    <x v="15"/>
    <n v="65"/>
    <n v="339"/>
    <x v="0"/>
  </r>
  <r>
    <x v="16"/>
    <n v="88"/>
    <n v="94"/>
    <x v="0"/>
  </r>
  <r>
    <x v="17"/>
    <n v="12"/>
    <n v="813"/>
    <x v="0"/>
  </r>
  <r>
    <x v="0"/>
    <n v="20"/>
    <n v="603"/>
    <x v="1"/>
  </r>
  <r>
    <x v="1"/>
    <n v="32"/>
    <n v="883"/>
    <x v="1"/>
  </r>
  <r>
    <x v="2"/>
    <n v="62"/>
    <n v="128"/>
    <x v="1"/>
  </r>
  <r>
    <x v="3"/>
    <n v="80"/>
    <n v="895"/>
    <x v="1"/>
  </r>
  <r>
    <x v="4"/>
    <n v="87"/>
    <n v="305"/>
    <x v="1"/>
  </r>
  <r>
    <x v="5"/>
    <n v="90"/>
    <n v="141"/>
    <x v="1"/>
  </r>
  <r>
    <x v="6"/>
    <n v="78"/>
    <n v="438"/>
    <x v="1"/>
  </r>
  <r>
    <x v="7"/>
    <n v="75"/>
    <n v="311"/>
    <x v="1"/>
  </r>
  <r>
    <x v="8"/>
    <n v="30"/>
    <n v="157"/>
    <x v="1"/>
  </r>
  <r>
    <x v="9"/>
    <n v="42"/>
    <n v="638"/>
    <x v="1"/>
  </r>
  <r>
    <x v="10"/>
    <n v="12"/>
    <n v="250"/>
    <x v="1"/>
  </r>
  <r>
    <x v="11"/>
    <n v="47"/>
    <n v="508"/>
    <x v="1"/>
  </r>
  <r>
    <x v="12"/>
    <n v="26"/>
    <n v="573"/>
    <x v="1"/>
  </r>
  <r>
    <x v="13"/>
    <n v="59"/>
    <n v="553"/>
    <x v="1"/>
  </r>
  <r>
    <x v="14"/>
    <n v="100"/>
    <n v="396"/>
    <x v="1"/>
  </r>
  <r>
    <x v="15"/>
    <n v="58"/>
    <n v="740"/>
    <x v="1"/>
  </r>
  <r>
    <x v="16"/>
    <n v="67"/>
    <n v="713"/>
    <x v="1"/>
  </r>
  <r>
    <x v="17"/>
    <n v="40"/>
    <n v="570"/>
    <x v="1"/>
  </r>
  <r>
    <x v="0"/>
    <n v="76"/>
    <n v="686"/>
    <x v="2"/>
  </r>
  <r>
    <x v="1"/>
    <n v="81"/>
    <n v="467"/>
    <x v="2"/>
  </r>
  <r>
    <x v="2"/>
    <n v="20"/>
    <n v="734"/>
    <x v="2"/>
  </r>
  <r>
    <x v="3"/>
    <n v="100"/>
    <n v="603"/>
    <x v="2"/>
  </r>
  <r>
    <x v="4"/>
    <n v="57"/>
    <n v="64"/>
    <x v="2"/>
  </r>
  <r>
    <x v="5"/>
    <n v="18"/>
    <n v="913"/>
    <x v="2"/>
  </r>
  <r>
    <x v="6"/>
    <n v="44"/>
    <n v="104"/>
    <x v="2"/>
  </r>
  <r>
    <x v="7"/>
    <n v="57"/>
    <n v="674"/>
    <x v="2"/>
  </r>
  <r>
    <x v="8"/>
    <n v="62"/>
    <n v="492"/>
    <x v="2"/>
  </r>
  <r>
    <x v="9"/>
    <n v="13"/>
    <n v="435"/>
    <x v="2"/>
  </r>
  <r>
    <x v="10"/>
    <n v="26"/>
    <n v="117"/>
    <x v="2"/>
  </r>
  <r>
    <x v="11"/>
    <n v="57"/>
    <n v="630"/>
    <x v="2"/>
  </r>
  <r>
    <x v="12"/>
    <n v="10"/>
    <n v="840"/>
    <x v="2"/>
  </r>
  <r>
    <x v="13"/>
    <n v="92"/>
    <n v="93"/>
    <x v="2"/>
  </r>
  <r>
    <x v="14"/>
    <n v="75"/>
    <n v="77"/>
    <x v="2"/>
  </r>
  <r>
    <x v="15"/>
    <n v="99"/>
    <n v="602"/>
    <x v="2"/>
  </r>
  <r>
    <x v="16"/>
    <n v="70"/>
    <n v="768"/>
    <x v="2"/>
  </r>
  <r>
    <x v="17"/>
    <n v="1"/>
    <n v="264"/>
    <x v="2"/>
  </r>
  <r>
    <x v="0"/>
    <n v="58"/>
    <n v="448"/>
    <x v="3"/>
  </r>
  <r>
    <x v="1"/>
    <n v="29"/>
    <n v="350"/>
    <x v="3"/>
  </r>
  <r>
    <x v="2"/>
    <n v="16"/>
    <n v="476"/>
    <x v="3"/>
  </r>
  <r>
    <x v="3"/>
    <n v="95"/>
    <n v="461"/>
    <x v="3"/>
  </r>
  <r>
    <x v="4"/>
    <n v="71"/>
    <n v="425"/>
    <x v="3"/>
  </r>
  <r>
    <x v="5"/>
    <n v="9"/>
    <n v="414"/>
    <x v="3"/>
  </r>
  <r>
    <x v="6"/>
    <n v="80"/>
    <n v="843"/>
    <x v="3"/>
  </r>
  <r>
    <x v="7"/>
    <n v="7"/>
    <n v="862"/>
    <x v="3"/>
  </r>
  <r>
    <x v="8"/>
    <n v="78"/>
    <n v="896"/>
    <x v="3"/>
  </r>
  <r>
    <x v="9"/>
    <n v="56"/>
    <n v="184"/>
    <x v="3"/>
  </r>
  <r>
    <x v="10"/>
    <n v="10"/>
    <n v="706"/>
    <x v="3"/>
  </r>
  <r>
    <x v="11"/>
    <n v="23"/>
    <n v="309"/>
    <x v="3"/>
  </r>
  <r>
    <x v="12"/>
    <n v="90"/>
    <n v="185"/>
    <x v="3"/>
  </r>
  <r>
    <x v="13"/>
    <n v="28"/>
    <n v="473"/>
    <x v="3"/>
  </r>
  <r>
    <x v="14"/>
    <n v="44"/>
    <n v="114"/>
    <x v="3"/>
  </r>
  <r>
    <x v="15"/>
    <n v="25"/>
    <n v="572"/>
    <x v="3"/>
  </r>
  <r>
    <x v="16"/>
    <n v="25"/>
    <n v="903"/>
    <x v="3"/>
  </r>
  <r>
    <x v="17"/>
    <n v="29"/>
    <n v="20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3CB7ED-1C52-490F-AF2B-E14A42B89B9B}"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1:N24" firstHeaderRow="0" firstDataRow="1" firstDataCol="1"/>
  <pivotFields count="4">
    <pivotField axis="axisRow" numFmtId="14" showAll="0">
      <items count="19">
        <item x="0"/>
        <item x="1"/>
        <item x="2"/>
        <item x="3"/>
        <item x="4"/>
        <item x="5"/>
        <item x="6"/>
        <item x="7"/>
        <item x="8"/>
        <item x="9"/>
        <item x="10"/>
        <item x="11"/>
        <item x="12"/>
        <item x="13"/>
        <item x="14"/>
        <item x="15"/>
        <item x="16"/>
        <item x="17"/>
        <item t="default"/>
      </items>
    </pivotField>
    <pivotField dataField="1" showAll="0"/>
    <pivotField dataField="1" numFmtId="44" showAll="0"/>
    <pivotField axis="axisRow" showAll="0" measureFilter="1">
      <items count="5">
        <item x="2"/>
        <item sd="0" x="0"/>
        <item sd="0" x="1"/>
        <item sd="0" x="3"/>
        <item t="default"/>
      </items>
    </pivotField>
  </pivotFields>
  <rowFields count="2">
    <field x="3"/>
    <field x="0"/>
  </rowFields>
  <rowItems count="23">
    <i>
      <x/>
    </i>
    <i r="1">
      <x/>
    </i>
    <i r="1">
      <x v="1"/>
    </i>
    <i r="1">
      <x v="2"/>
    </i>
    <i r="1">
      <x v="3"/>
    </i>
    <i r="1">
      <x v="4"/>
    </i>
    <i r="1">
      <x v="5"/>
    </i>
    <i r="1">
      <x v="6"/>
    </i>
    <i r="1">
      <x v="7"/>
    </i>
    <i r="1">
      <x v="8"/>
    </i>
    <i r="1">
      <x v="9"/>
    </i>
    <i r="1">
      <x v="10"/>
    </i>
    <i r="1">
      <x v="11"/>
    </i>
    <i r="1">
      <x v="12"/>
    </i>
    <i r="1">
      <x v="13"/>
    </i>
    <i r="1">
      <x v="14"/>
    </i>
    <i r="1">
      <x v="15"/>
    </i>
    <i r="1">
      <x v="16"/>
    </i>
    <i r="1">
      <x v="17"/>
    </i>
    <i>
      <x v="1"/>
    </i>
    <i>
      <x v="2"/>
    </i>
    <i>
      <x v="3"/>
    </i>
    <i t="grand">
      <x/>
    </i>
  </rowItems>
  <colFields count="1">
    <field x="-2"/>
  </colFields>
  <colItems count="2">
    <i>
      <x/>
    </i>
    <i i="1">
      <x v="1"/>
    </i>
  </colItems>
  <dataFields count="2">
    <dataField name="Sum of Units Sold" fld="1" baseField="0" baseItem="0"/>
    <dataField name="Sum of Revenue" fld="2" baseField="3" baseItem="0" numFmtId="165"/>
  </dataFields>
  <pivotTableStyleInfo name="PivotStyleMedium9" showRowHeaders="1" showColHeaders="1" showRowStripes="0" showColStripes="0" showLastColumn="1"/>
  <filters count="1">
    <filter fld="3" type="count" evalOrder="-1" id="1"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816E9C-69EE-4101-AF47-8A1E12384A66}" name="Table3" displayName="Table3" ref="G23:I28" totalsRowShown="0" headerRowDxfId="6" dataDxfId="5">
  <autoFilter ref="G23:I28" xr:uid="{D0816E9C-69EE-4101-AF47-8A1E12384A66}"/>
  <tableColumns count="3">
    <tableColumn id="1" xr3:uid="{17BDD242-B500-45E0-93CE-BA778794975D}" name="Row Labels" dataDxfId="4"/>
    <tableColumn id="2" xr3:uid="{74D44492-B65B-4CB1-9D07-8479910B91AA}" name="Sum of Units Sold" dataDxfId="3"/>
    <tableColumn id="3" xr3:uid="{5AD80AB3-E0AC-4296-9018-74D9299EB808}" name="Sum of Revenue" dataDxfId="2"/>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
  <sheetViews>
    <sheetView workbookViewId="0">
      <selection activeCell="G11" sqref="G11"/>
    </sheetView>
  </sheetViews>
  <sheetFormatPr defaultColWidth="8.81640625" defaultRowHeight="14.5" x14ac:dyDescent="0.35"/>
  <cols>
    <col min="1" max="1" width="5.81640625" bestFit="1" customWidth="1"/>
  </cols>
  <sheetData>
    <row r="1" spans="1:5" x14ac:dyDescent="0.35">
      <c r="A1" s="52" t="s">
        <v>16</v>
      </c>
      <c r="B1" s="52"/>
      <c r="C1" s="52"/>
      <c r="D1" s="52"/>
      <c r="E1" s="52"/>
    </row>
    <row r="2" spans="1:5" x14ac:dyDescent="0.35">
      <c r="A2" t="s">
        <v>7</v>
      </c>
      <c r="B2" t="s">
        <v>17</v>
      </c>
    </row>
    <row r="3" spans="1:5" x14ac:dyDescent="0.35">
      <c r="A3" t="s">
        <v>9</v>
      </c>
      <c r="B3" t="s">
        <v>415</v>
      </c>
    </row>
    <row r="4" spans="1:5" x14ac:dyDescent="0.35">
      <c r="A4" t="s">
        <v>5</v>
      </c>
      <c r="B4" t="s">
        <v>18</v>
      </c>
    </row>
    <row r="5" spans="1:5" x14ac:dyDescent="0.35">
      <c r="A5" t="s">
        <v>10</v>
      </c>
      <c r="B5" t="s">
        <v>19</v>
      </c>
    </row>
  </sheetData>
  <mergeCells count="1">
    <mergeCell ref="A1:E1"/>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D119"/>
  <sheetViews>
    <sheetView zoomScale="85" zoomScaleNormal="108" workbookViewId="0">
      <pane xSplit="1" ySplit="2" topLeftCell="AJ29" activePane="bottomRight" state="frozen"/>
      <selection pane="topRight" activeCell="B1" sqref="B1"/>
      <selection pane="bottomLeft" activeCell="A3" sqref="A3"/>
      <selection pane="bottomRight" activeCell="AW44" sqref="AW44"/>
    </sheetView>
  </sheetViews>
  <sheetFormatPr defaultColWidth="8.81640625" defaultRowHeight="14.5" x14ac:dyDescent="0.35"/>
  <cols>
    <col min="1" max="1" width="9.6328125" bestFit="1" customWidth="1"/>
    <col min="2" max="2" width="13.36328125" style="4" bestFit="1" customWidth="1"/>
    <col min="3" max="3" width="10.453125" style="2" bestFit="1" customWidth="1"/>
    <col min="4" max="5" width="8.81640625" style="4"/>
    <col min="9" max="9" width="10.1796875" style="3" bestFit="1" customWidth="1"/>
    <col min="10" max="10" width="8.81640625" style="2"/>
    <col min="11" max="11" width="13.36328125" style="11" bestFit="1" customWidth="1"/>
    <col min="12" max="12" width="10.453125" style="2" bestFit="1" customWidth="1"/>
    <col min="13" max="14" width="8.81640625" style="4"/>
    <col min="18" max="18" width="8.81640625" style="3"/>
    <col min="19" max="19" width="8.81640625" style="2"/>
    <col min="20" max="20" width="13.36328125" style="11" bestFit="1" customWidth="1"/>
    <col min="21" max="21" width="11.08984375" style="2" bestFit="1" customWidth="1"/>
    <col min="22" max="23" width="8.81640625" style="4"/>
    <col min="27" max="27" width="8.81640625" style="3"/>
    <col min="28" max="28" width="16" style="2" bestFit="1" customWidth="1"/>
    <col min="29" max="29" width="13.36328125" style="11" bestFit="1" customWidth="1"/>
    <col min="30" max="30" width="10.453125" style="2" bestFit="1" customWidth="1"/>
    <col min="31" max="32" width="8.81640625" style="4"/>
    <col min="36" max="36" width="8.81640625" style="3"/>
    <col min="37" max="37" width="8.81640625" style="2"/>
    <col min="38" max="38" width="13.36328125" style="11" bestFit="1" customWidth="1"/>
    <col min="39" max="39" width="10.453125" style="2" bestFit="1" customWidth="1"/>
    <col min="40" max="41" width="8.81640625" style="4"/>
    <col min="45" max="45" width="8.81640625" style="3"/>
    <col min="46" max="46" width="8.81640625" style="2"/>
    <col min="47" max="47" width="13.36328125" style="11" bestFit="1" customWidth="1"/>
    <col min="48" max="48" width="12.81640625" style="2" customWidth="1"/>
    <col min="49" max="50" width="8.81640625" style="4"/>
    <col min="54" max="54" width="8.81640625" style="3"/>
    <col min="55" max="55" width="8.81640625" style="2"/>
    <col min="56" max="56" width="13.36328125" style="11" bestFit="1" customWidth="1"/>
  </cols>
  <sheetData>
    <row r="1" spans="1:56" x14ac:dyDescent="0.35">
      <c r="B1" s="53" t="s">
        <v>8</v>
      </c>
      <c r="C1" s="53"/>
      <c r="D1" s="53"/>
      <c r="E1" s="53"/>
      <c r="F1" s="53"/>
      <c r="G1" s="53"/>
      <c r="H1" s="53"/>
      <c r="I1" s="53"/>
      <c r="J1" s="53"/>
      <c r="K1" s="54" t="s">
        <v>11</v>
      </c>
      <c r="L1" s="54"/>
      <c r="M1" s="54"/>
      <c r="N1" s="54"/>
      <c r="O1" s="54"/>
      <c r="P1" s="54"/>
      <c r="Q1" s="54"/>
      <c r="R1" s="54"/>
      <c r="S1" s="54"/>
      <c r="T1" s="55" t="s">
        <v>12</v>
      </c>
      <c r="U1" s="55"/>
      <c r="V1" s="55"/>
      <c r="W1" s="55"/>
      <c r="X1" s="55"/>
      <c r="Y1" s="55"/>
      <c r="Z1" s="55"/>
      <c r="AA1" s="55"/>
      <c r="AB1" s="55"/>
      <c r="AC1" s="56" t="s">
        <v>13</v>
      </c>
      <c r="AD1" s="56"/>
      <c r="AE1" s="56"/>
      <c r="AF1" s="56"/>
      <c r="AG1" s="56"/>
      <c r="AH1" s="56"/>
      <c r="AI1" s="56"/>
      <c r="AJ1" s="56"/>
      <c r="AK1" s="56"/>
      <c r="AL1" s="57" t="s">
        <v>14</v>
      </c>
      <c r="AM1" s="57"/>
      <c r="AN1" s="57"/>
      <c r="AO1" s="57"/>
      <c r="AP1" s="57"/>
      <c r="AQ1" s="57"/>
      <c r="AR1" s="57"/>
      <c r="AS1" s="57"/>
      <c r="AT1" s="57"/>
      <c r="AU1" s="39" t="s">
        <v>15</v>
      </c>
      <c r="AV1" s="39"/>
      <c r="AW1" s="39"/>
      <c r="AX1" s="39"/>
      <c r="AY1" s="39"/>
      <c r="AZ1" s="39"/>
      <c r="BA1" s="39"/>
      <c r="BB1" s="39"/>
      <c r="BC1" s="39"/>
      <c r="BD1"/>
    </row>
    <row r="2" spans="1:56" s="9" customFormat="1" x14ac:dyDescent="0.35">
      <c r="A2" s="5" t="s">
        <v>0</v>
      </c>
      <c r="B2" s="6" t="s">
        <v>1</v>
      </c>
      <c r="C2" s="7" t="s">
        <v>2</v>
      </c>
      <c r="D2" s="6" t="s">
        <v>3</v>
      </c>
      <c r="E2" s="6" t="s">
        <v>4</v>
      </c>
      <c r="F2" s="7" t="s">
        <v>5</v>
      </c>
      <c r="G2" s="7" t="s">
        <v>6</v>
      </c>
      <c r="H2" s="8" t="s">
        <v>7</v>
      </c>
      <c r="I2" s="8" t="s">
        <v>9</v>
      </c>
      <c r="J2" s="7" t="s">
        <v>10</v>
      </c>
      <c r="K2" s="10" t="s">
        <v>1</v>
      </c>
      <c r="L2" s="7" t="s">
        <v>2</v>
      </c>
      <c r="M2" s="6" t="s">
        <v>3</v>
      </c>
      <c r="N2" s="6" t="s">
        <v>4</v>
      </c>
      <c r="O2" s="7" t="s">
        <v>5</v>
      </c>
      <c r="P2" s="7" t="s">
        <v>6</v>
      </c>
      <c r="Q2" s="8" t="s">
        <v>7</v>
      </c>
      <c r="R2" s="8" t="s">
        <v>9</v>
      </c>
      <c r="S2" s="7" t="s">
        <v>10</v>
      </c>
      <c r="T2" s="10" t="s">
        <v>1</v>
      </c>
      <c r="U2" s="7" t="s">
        <v>2</v>
      </c>
      <c r="V2" s="6" t="s">
        <v>3</v>
      </c>
      <c r="W2" s="6" t="s">
        <v>4</v>
      </c>
      <c r="X2" s="7" t="s">
        <v>5</v>
      </c>
      <c r="Y2" s="7" t="s">
        <v>6</v>
      </c>
      <c r="Z2" s="8" t="s">
        <v>7</v>
      </c>
      <c r="AA2" s="8" t="s">
        <v>9</v>
      </c>
      <c r="AB2" s="7" t="s">
        <v>10</v>
      </c>
      <c r="AC2" s="10" t="s">
        <v>1</v>
      </c>
      <c r="AD2" s="7" t="s">
        <v>2</v>
      </c>
      <c r="AE2" s="6" t="s">
        <v>3</v>
      </c>
      <c r="AF2" s="6" t="s">
        <v>4</v>
      </c>
      <c r="AG2" s="7" t="s">
        <v>5</v>
      </c>
      <c r="AH2" s="7" t="s">
        <v>6</v>
      </c>
      <c r="AI2" s="8" t="s">
        <v>7</v>
      </c>
      <c r="AJ2" s="8" t="s">
        <v>9</v>
      </c>
      <c r="AK2" s="7" t="s">
        <v>10</v>
      </c>
      <c r="AL2" s="10" t="s">
        <v>1</v>
      </c>
      <c r="AM2" s="7" t="s">
        <v>2</v>
      </c>
      <c r="AN2" s="6" t="s">
        <v>3</v>
      </c>
      <c r="AO2" s="6" t="s">
        <v>4</v>
      </c>
      <c r="AP2" s="7" t="s">
        <v>5</v>
      </c>
      <c r="AQ2" s="7" t="s">
        <v>6</v>
      </c>
      <c r="AR2" s="8" t="s">
        <v>7</v>
      </c>
      <c r="AS2" s="8" t="s">
        <v>9</v>
      </c>
      <c r="AT2" s="7" t="s">
        <v>10</v>
      </c>
      <c r="AU2" s="10" t="s">
        <v>1</v>
      </c>
      <c r="AV2" s="7" t="s">
        <v>2</v>
      </c>
      <c r="AW2" s="6" t="s">
        <v>3</v>
      </c>
      <c r="AX2" s="6" t="s">
        <v>4</v>
      </c>
      <c r="AY2" s="7" t="s">
        <v>5</v>
      </c>
      <c r="AZ2" s="7" t="s">
        <v>6</v>
      </c>
      <c r="BA2" s="8" t="s">
        <v>7</v>
      </c>
      <c r="BB2" s="8" t="s">
        <v>9</v>
      </c>
      <c r="BC2" s="7" t="s">
        <v>10</v>
      </c>
      <c r="BD2" s="10"/>
    </row>
    <row r="3" spans="1:56" s="2" customFormat="1" x14ac:dyDescent="0.35">
      <c r="A3" s="1">
        <v>41699</v>
      </c>
      <c r="K3" s="11"/>
      <c r="T3" s="11"/>
      <c r="AC3" s="11"/>
      <c r="AL3" s="11"/>
      <c r="AU3" s="11"/>
      <c r="AV3" s="13"/>
      <c r="AW3" s="12"/>
      <c r="AX3" s="12"/>
      <c r="BA3" s="3"/>
      <c r="BB3" s="3"/>
      <c r="BD3" s="11"/>
    </row>
    <row r="4" spans="1:56" s="2" customFormat="1" x14ac:dyDescent="0.35">
      <c r="A4" s="1">
        <v>41700</v>
      </c>
      <c r="K4" s="11"/>
      <c r="T4" s="11"/>
      <c r="AC4" s="11"/>
      <c r="AL4" s="11"/>
      <c r="AU4" s="11"/>
      <c r="BD4" s="11"/>
    </row>
    <row r="5" spans="1:56" s="2" customFormat="1" x14ac:dyDescent="0.35">
      <c r="A5" s="1">
        <v>41701</v>
      </c>
      <c r="K5" s="11"/>
      <c r="T5" s="11"/>
      <c r="AC5" s="11"/>
      <c r="AL5" s="11"/>
      <c r="AU5" s="11"/>
      <c r="BD5" s="11"/>
    </row>
    <row r="6" spans="1:56" s="2" customFormat="1" x14ac:dyDescent="0.35">
      <c r="A6" s="1">
        <v>41702</v>
      </c>
      <c r="K6" s="11"/>
      <c r="T6" s="11"/>
      <c r="AC6" s="11"/>
      <c r="AL6" s="11"/>
      <c r="AU6" s="11"/>
      <c r="BD6" s="11"/>
    </row>
    <row r="7" spans="1:56" s="2" customFormat="1" x14ac:dyDescent="0.35">
      <c r="A7" s="1">
        <v>41703</v>
      </c>
      <c r="K7" s="11"/>
      <c r="T7" s="11"/>
      <c r="AC7" s="11"/>
      <c r="AL7" s="11"/>
      <c r="AU7" s="11"/>
      <c r="BD7" s="11"/>
    </row>
    <row r="8" spans="1:56" s="2" customFormat="1" x14ac:dyDescent="0.35">
      <c r="A8" s="1">
        <v>41704</v>
      </c>
      <c r="K8" s="11"/>
      <c r="T8" s="11"/>
      <c r="AC8" s="11"/>
      <c r="AL8" s="11"/>
      <c r="AU8" s="11"/>
      <c r="BD8" s="11"/>
    </row>
    <row r="9" spans="1:56" s="2" customFormat="1" x14ac:dyDescent="0.35">
      <c r="A9" s="1">
        <v>41705</v>
      </c>
      <c r="K9" s="11"/>
      <c r="T9" s="11"/>
      <c r="AC9" s="11"/>
      <c r="AL9" s="11"/>
      <c r="AU9" s="11"/>
      <c r="BD9" s="11"/>
    </row>
    <row r="10" spans="1:56" s="2" customFormat="1" x14ac:dyDescent="0.35">
      <c r="A10" s="1">
        <v>41706</v>
      </c>
      <c r="K10" s="11"/>
      <c r="T10" s="11"/>
      <c r="AC10" s="11"/>
      <c r="AL10" s="11"/>
      <c r="AU10" s="11"/>
      <c r="BD10" s="11"/>
    </row>
    <row r="11" spans="1:56" s="2" customFormat="1" x14ac:dyDescent="0.35">
      <c r="A11" s="1">
        <v>41707</v>
      </c>
      <c r="K11" s="11"/>
      <c r="T11" s="11"/>
      <c r="AC11" s="11"/>
      <c r="AL11" s="11"/>
      <c r="AU11" s="11"/>
      <c r="BD11" s="11"/>
    </row>
    <row r="12" spans="1:56" s="2" customFormat="1" x14ac:dyDescent="0.35">
      <c r="A12" s="1">
        <v>41708</v>
      </c>
      <c r="K12" s="11"/>
      <c r="T12" s="11"/>
      <c r="AC12" s="11"/>
      <c r="AL12" s="11"/>
      <c r="AU12" s="11"/>
      <c r="BD12" s="11"/>
    </row>
    <row r="13" spans="1:56" s="2" customFormat="1" x14ac:dyDescent="0.35">
      <c r="A13" s="1">
        <v>41709</v>
      </c>
      <c r="K13" s="11"/>
      <c r="T13" s="11"/>
      <c r="AC13" s="11"/>
      <c r="AL13" s="11"/>
      <c r="AU13" s="11"/>
      <c r="BD13" s="11"/>
    </row>
    <row r="14" spans="1:56" s="2" customFormat="1" x14ac:dyDescent="0.35">
      <c r="A14" s="1">
        <v>41710</v>
      </c>
      <c r="K14" s="11"/>
      <c r="T14" s="11"/>
      <c r="AC14" s="11"/>
      <c r="AL14" s="11"/>
      <c r="AU14" s="11"/>
      <c r="BD14" s="11"/>
    </row>
    <row r="15" spans="1:56" s="2" customFormat="1" x14ac:dyDescent="0.35">
      <c r="A15" s="1">
        <v>41711</v>
      </c>
      <c r="K15" s="11"/>
      <c r="T15" s="11"/>
      <c r="AC15" s="11"/>
      <c r="AL15" s="11"/>
      <c r="AU15" s="11"/>
      <c r="BD15" s="11"/>
    </row>
    <row r="16" spans="1:56" s="2" customFormat="1" x14ac:dyDescent="0.35">
      <c r="A16" s="1">
        <v>41712</v>
      </c>
      <c r="K16" s="11"/>
      <c r="T16" s="11"/>
      <c r="AC16" s="11"/>
      <c r="AL16" s="11"/>
      <c r="AU16" s="11"/>
      <c r="BD16" s="11"/>
    </row>
    <row r="17" spans="1:56" s="2" customFormat="1" x14ac:dyDescent="0.35">
      <c r="A17" s="1">
        <v>41713</v>
      </c>
      <c r="K17" s="11"/>
      <c r="T17" s="11"/>
      <c r="AC17" s="11"/>
      <c r="AL17" s="11"/>
      <c r="AU17" s="11"/>
      <c r="BD17" s="11"/>
    </row>
    <row r="18" spans="1:56" s="2" customFormat="1" x14ac:dyDescent="0.35">
      <c r="A18" s="1">
        <v>41714</v>
      </c>
      <c r="K18" s="11"/>
      <c r="T18" s="11"/>
      <c r="AC18" s="11"/>
      <c r="AL18" s="11"/>
      <c r="AU18" s="11"/>
      <c r="BD18" s="11"/>
    </row>
    <row r="19" spans="1:56" s="2" customFormat="1" x14ac:dyDescent="0.35">
      <c r="A19" s="1">
        <v>41715</v>
      </c>
      <c r="K19" s="11"/>
      <c r="T19" s="11"/>
      <c r="AC19" s="11"/>
      <c r="AL19" s="11"/>
      <c r="AU19" s="11"/>
      <c r="BD19" s="11"/>
    </row>
    <row r="20" spans="1:56" s="2" customFormat="1" x14ac:dyDescent="0.35">
      <c r="A20" s="1">
        <v>41716</v>
      </c>
      <c r="K20" s="11"/>
      <c r="T20" s="11"/>
      <c r="AC20" s="11"/>
      <c r="AL20" s="11"/>
      <c r="AU20" s="11"/>
      <c r="BD20" s="11"/>
    </row>
    <row r="21" spans="1:56" s="2" customFormat="1" x14ac:dyDescent="0.35">
      <c r="A21" s="1">
        <v>41717</v>
      </c>
      <c r="K21" s="11"/>
      <c r="T21" s="11"/>
      <c r="AC21" s="11"/>
      <c r="AL21" s="11"/>
      <c r="AU21" s="11"/>
      <c r="BD21" s="11"/>
    </row>
    <row r="22" spans="1:56" s="2" customFormat="1" x14ac:dyDescent="0.35">
      <c r="A22" s="1">
        <v>41718</v>
      </c>
      <c r="K22" s="11"/>
      <c r="T22" s="11"/>
      <c r="AC22" s="11"/>
      <c r="AL22" s="11"/>
      <c r="AU22" s="11"/>
      <c r="BD22" s="11"/>
    </row>
    <row r="23" spans="1:56" s="2" customFormat="1" x14ac:dyDescent="0.35">
      <c r="A23" s="1">
        <v>41719</v>
      </c>
      <c r="K23" s="11"/>
      <c r="T23" s="11"/>
      <c r="AC23" s="11"/>
      <c r="AL23" s="11"/>
      <c r="AU23" s="11"/>
      <c r="BD23" s="11"/>
    </row>
    <row r="24" spans="1:56" s="2" customFormat="1" x14ac:dyDescent="0.35">
      <c r="A24" s="1">
        <v>41720</v>
      </c>
      <c r="K24" s="11"/>
      <c r="T24" s="11"/>
      <c r="AC24" s="11"/>
      <c r="AL24" s="11"/>
      <c r="AU24" s="11"/>
      <c r="BD24" s="11"/>
    </row>
    <row r="25" spans="1:56" s="2" customFormat="1" x14ac:dyDescent="0.35">
      <c r="A25" s="1">
        <v>41721</v>
      </c>
      <c r="K25" s="11"/>
      <c r="T25" s="11"/>
      <c r="AC25" s="11"/>
      <c r="AL25" s="11"/>
      <c r="AU25" s="11"/>
      <c r="BD25" s="11"/>
    </row>
    <row r="26" spans="1:56" s="2" customFormat="1" x14ac:dyDescent="0.35">
      <c r="A26" s="1">
        <v>41722</v>
      </c>
      <c r="K26" s="11"/>
      <c r="T26" s="11"/>
      <c r="AC26" s="11"/>
      <c r="AL26" s="11"/>
      <c r="AU26" s="11"/>
      <c r="BD26" s="11"/>
    </row>
    <row r="27" spans="1:56" s="2" customFormat="1" x14ac:dyDescent="0.35">
      <c r="A27" s="1">
        <v>41723</v>
      </c>
      <c r="K27" s="11"/>
      <c r="T27" s="11"/>
      <c r="AC27" s="11"/>
      <c r="AL27" s="11"/>
      <c r="AU27" s="11"/>
      <c r="BD27" s="11"/>
    </row>
    <row r="28" spans="1:56" s="2" customFormat="1" x14ac:dyDescent="0.35">
      <c r="A28" s="1">
        <v>41724</v>
      </c>
      <c r="K28" s="11"/>
      <c r="T28" s="11"/>
      <c r="AC28" s="11"/>
      <c r="AL28" s="11"/>
      <c r="AU28" s="11"/>
      <c r="BD28" s="11"/>
    </row>
    <row r="29" spans="1:56" s="2" customFormat="1" x14ac:dyDescent="0.35">
      <c r="A29" s="1">
        <v>41725</v>
      </c>
      <c r="K29" s="11"/>
      <c r="T29" s="11"/>
      <c r="AC29" s="11"/>
      <c r="AL29" s="11"/>
      <c r="AU29" s="11"/>
      <c r="BD29" s="11"/>
    </row>
    <row r="30" spans="1:56" s="2" customFormat="1" x14ac:dyDescent="0.35">
      <c r="A30" s="1">
        <v>41726</v>
      </c>
      <c r="K30" s="11"/>
      <c r="T30" s="11"/>
      <c r="AC30" s="11"/>
      <c r="AL30" s="11"/>
      <c r="AU30" s="11"/>
      <c r="BD30" s="11"/>
    </row>
    <row r="31" spans="1:56" s="2" customFormat="1" x14ac:dyDescent="0.35">
      <c r="A31" s="1">
        <v>41727</v>
      </c>
      <c r="K31" s="11"/>
      <c r="T31" s="11"/>
      <c r="AC31" s="11"/>
      <c r="AL31" s="11"/>
      <c r="AU31" s="11"/>
      <c r="BD31" s="11"/>
    </row>
    <row r="32" spans="1:56" s="2" customFormat="1" x14ac:dyDescent="0.35">
      <c r="A32" s="1">
        <v>41728</v>
      </c>
      <c r="K32" s="11"/>
      <c r="T32" s="11"/>
      <c r="AC32" s="11"/>
      <c r="AL32" s="11"/>
      <c r="AU32" s="11"/>
      <c r="BD32" s="11"/>
    </row>
    <row r="33" spans="1:56" s="2" customFormat="1" x14ac:dyDescent="0.35">
      <c r="A33" s="1">
        <v>41729</v>
      </c>
      <c r="K33" s="11"/>
      <c r="T33" s="11"/>
      <c r="AC33" s="11"/>
      <c r="AL33" s="11"/>
      <c r="AU33" s="11"/>
      <c r="BD33" s="11"/>
    </row>
    <row r="34" spans="1:56" x14ac:dyDescent="0.35">
      <c r="A34" s="1">
        <v>41730</v>
      </c>
      <c r="B34">
        <v>160000</v>
      </c>
      <c r="C34" s="2">
        <v>675</v>
      </c>
      <c r="D34">
        <v>100</v>
      </c>
      <c r="E34">
        <v>85</v>
      </c>
      <c r="F34" s="2">
        <v>7.9411764705882355</v>
      </c>
      <c r="G34" s="2">
        <v>6.75</v>
      </c>
      <c r="H34" s="3">
        <v>6.2500000000000001E-4</v>
      </c>
      <c r="J34" s="2">
        <f>C34/(B34/1000)</f>
        <v>4.21875</v>
      </c>
      <c r="K34">
        <v>310000</v>
      </c>
      <c r="L34" s="2">
        <v>1000</v>
      </c>
      <c r="M34">
        <v>400</v>
      </c>
      <c r="N34">
        <v>55</v>
      </c>
      <c r="O34" s="2">
        <v>18.181818181818183</v>
      </c>
      <c r="P34" s="2">
        <v>2.5</v>
      </c>
      <c r="Q34" s="3">
        <v>1.2903225806451613E-3</v>
      </c>
      <c r="S34" s="2">
        <f>L34/(K34/1000)</f>
        <v>3.225806451612903</v>
      </c>
      <c r="T34">
        <v>380000</v>
      </c>
      <c r="U34" s="2">
        <v>650</v>
      </c>
      <c r="V34">
        <v>690</v>
      </c>
      <c r="W34">
        <v>55</v>
      </c>
      <c r="X34" s="2">
        <f>U34/W34</f>
        <v>11.818181818181818</v>
      </c>
      <c r="Y34" s="2">
        <f>U34/V34</f>
        <v>0.94202898550724634</v>
      </c>
      <c r="Z34" s="3"/>
      <c r="AB34" s="2">
        <f>U34/(T34/1000)</f>
        <v>1.7105263157894737</v>
      </c>
      <c r="AC34">
        <v>160000</v>
      </c>
      <c r="AD34" s="2">
        <v>425</v>
      </c>
      <c r="AE34">
        <v>170</v>
      </c>
      <c r="AF34">
        <v>5</v>
      </c>
      <c r="AG34" s="2">
        <v>85</v>
      </c>
      <c r="AH34" s="2">
        <v>2.5</v>
      </c>
      <c r="AI34" s="3">
        <v>1.0625000000000001E-3</v>
      </c>
      <c r="AK34" s="2">
        <f>AD34/(AC34/1000)</f>
        <v>2.65625</v>
      </c>
      <c r="AL34">
        <v>250000</v>
      </c>
      <c r="AM34" s="2">
        <v>575</v>
      </c>
      <c r="AN34">
        <v>160</v>
      </c>
      <c r="AO34">
        <v>220</v>
      </c>
      <c r="AP34" s="2">
        <v>2.6136363636363638</v>
      </c>
      <c r="AQ34" s="2">
        <v>3.59375</v>
      </c>
      <c r="AR34" s="3">
        <v>6.4000000000000005E-4</v>
      </c>
      <c r="AT34" s="2">
        <f>AM34/(AL34/1000)</f>
        <v>2.2999999999999998</v>
      </c>
      <c r="AU34" s="68">
        <f>SUM(B34+K34+T34+AC34+AL34)</f>
        <v>1260000</v>
      </c>
      <c r="AV34" s="69">
        <f>SUM(C34+L34+U34+AD34+AM34)</f>
        <v>3325</v>
      </c>
      <c r="AW34" s="70">
        <f>SUM(D34+M34+V34+AE34+AN34)</f>
        <v>1520</v>
      </c>
      <c r="AX34" s="70">
        <f>SUM(E34+N34+W34+AF34+AO34)</f>
        <v>420</v>
      </c>
      <c r="AY34" s="69">
        <f t="shared" ref="AY34:AY63" si="0">AV34/AX34</f>
        <v>7.916666666666667</v>
      </c>
      <c r="AZ34" s="69">
        <f t="shared" ref="AZ34:AZ63" si="1">AV34/AW34</f>
        <v>2.1875</v>
      </c>
      <c r="BA34" s="71">
        <f t="shared" ref="BA34:BA63" si="2">AW34/AU34</f>
        <v>1.2063492063492064E-3</v>
      </c>
      <c r="BB34" s="71">
        <f t="shared" ref="BB34:BB63" si="3">AX34/AW34</f>
        <v>0.27631578947368424</v>
      </c>
      <c r="BC34" s="69">
        <f t="shared" ref="BC34:BC63" si="4">AV34/(AU34/1000)</f>
        <v>2.6388888888888888</v>
      </c>
    </row>
    <row r="35" spans="1:56" x14ac:dyDescent="0.35">
      <c r="A35" s="1">
        <v>41731</v>
      </c>
      <c r="B35">
        <v>10000</v>
      </c>
      <c r="C35" s="2">
        <v>575</v>
      </c>
      <c r="D35">
        <v>640</v>
      </c>
      <c r="E35">
        <v>220</v>
      </c>
      <c r="F35" s="2">
        <v>2.6136363636363638</v>
      </c>
      <c r="G35" s="2">
        <v>0.8984375</v>
      </c>
      <c r="H35" s="3">
        <v>6.4000000000000001E-2</v>
      </c>
      <c r="J35" s="2">
        <f t="shared" ref="J35:J63" si="5">C35/(B35/1000)</f>
        <v>57.5</v>
      </c>
      <c r="K35">
        <v>230000</v>
      </c>
      <c r="L35" s="2">
        <v>125</v>
      </c>
      <c r="M35">
        <v>690</v>
      </c>
      <c r="N35">
        <v>140</v>
      </c>
      <c r="O35" s="2">
        <v>0.8928571428571429</v>
      </c>
      <c r="P35" s="2">
        <v>0.18115942028985507</v>
      </c>
      <c r="Q35" s="3">
        <v>3.0000000000000001E-3</v>
      </c>
      <c r="S35" s="2">
        <f t="shared" ref="S35:S63" si="6">L35/(K35/1000)</f>
        <v>0.54347826086956519</v>
      </c>
      <c r="T35">
        <v>360000</v>
      </c>
      <c r="U35" s="2">
        <v>1175</v>
      </c>
      <c r="V35">
        <v>250</v>
      </c>
      <c r="W35">
        <v>35</v>
      </c>
      <c r="X35" s="2">
        <f t="shared" ref="X35:X63" si="7">U35/W35</f>
        <v>33.571428571428569</v>
      </c>
      <c r="Y35" s="2">
        <f t="shared" ref="Y35:Y63" si="8">U35/V35</f>
        <v>4.7</v>
      </c>
      <c r="Z35" s="3"/>
      <c r="AB35" s="2">
        <f t="shared" ref="AB35:AB63" si="9">U35/(T35/1000)</f>
        <v>3.2638888888888888</v>
      </c>
      <c r="AC35">
        <v>270000</v>
      </c>
      <c r="AD35" s="2">
        <v>525</v>
      </c>
      <c r="AE35">
        <v>520</v>
      </c>
      <c r="AF35">
        <v>85</v>
      </c>
      <c r="AG35" s="2">
        <v>6.1764705882352944</v>
      </c>
      <c r="AH35" s="2">
        <v>1.0096153846153846</v>
      </c>
      <c r="AI35" s="3">
        <v>1.925925925925926E-3</v>
      </c>
      <c r="AK35" s="2">
        <f t="shared" ref="AK35:AK63" si="10">AD35/(AC35/1000)</f>
        <v>1.9444444444444444</v>
      </c>
      <c r="AL35">
        <v>320000</v>
      </c>
      <c r="AM35" s="2">
        <v>250</v>
      </c>
      <c r="AN35">
        <v>290</v>
      </c>
      <c r="AO35">
        <v>130</v>
      </c>
      <c r="AP35" s="2">
        <v>1.9230769230769231</v>
      </c>
      <c r="AQ35" s="2">
        <v>0.86206896551724133</v>
      </c>
      <c r="AR35" s="3">
        <v>9.0625000000000005E-4</v>
      </c>
      <c r="AT35" s="2">
        <f t="shared" ref="AT35:AT37" si="11">AM35/(AL35/1000)</f>
        <v>0.78125</v>
      </c>
      <c r="AU35" s="68">
        <f>SUM(B35+K35+T35+AC35+AL35)</f>
        <v>1190000</v>
      </c>
      <c r="AV35" s="69">
        <f>SUM(C35+L35+U35+AD35+AM35)</f>
        <v>2650</v>
      </c>
      <c r="AW35" s="70">
        <f>SUM(D35+M35+V35+AE35+AN35)</f>
        <v>2390</v>
      </c>
      <c r="AX35" s="70">
        <f>SUM(E35+N35+W35+AF35+AO35)</f>
        <v>610</v>
      </c>
      <c r="AY35" s="69">
        <f t="shared" si="0"/>
        <v>4.3442622950819674</v>
      </c>
      <c r="AZ35" s="69">
        <f t="shared" si="1"/>
        <v>1.108786610878661</v>
      </c>
      <c r="BA35" s="71">
        <f t="shared" si="2"/>
        <v>2.0084033613445378E-3</v>
      </c>
      <c r="BB35" s="71">
        <f t="shared" si="3"/>
        <v>0.25523012552301255</v>
      </c>
      <c r="BC35" s="69">
        <f t="shared" si="4"/>
        <v>2.2268907563025211</v>
      </c>
    </row>
    <row r="36" spans="1:56" x14ac:dyDescent="0.35">
      <c r="A36" s="1">
        <v>41732</v>
      </c>
      <c r="B36">
        <v>450000</v>
      </c>
      <c r="C36" s="2">
        <v>1125</v>
      </c>
      <c r="D36">
        <v>640</v>
      </c>
      <c r="E36">
        <v>40</v>
      </c>
      <c r="F36" s="2">
        <v>28.125</v>
      </c>
      <c r="G36" s="2">
        <v>1.7578125</v>
      </c>
      <c r="H36" s="3">
        <v>1.4222222222222223E-3</v>
      </c>
      <c r="J36" s="2">
        <f t="shared" si="5"/>
        <v>2.5</v>
      </c>
      <c r="K36">
        <v>340000</v>
      </c>
      <c r="L36" s="2">
        <v>1125</v>
      </c>
      <c r="M36">
        <v>520</v>
      </c>
      <c r="N36">
        <v>140</v>
      </c>
      <c r="O36" s="2">
        <v>8.0357142857142865</v>
      </c>
      <c r="P36" s="2">
        <v>2.1634615384615383</v>
      </c>
      <c r="Q36" s="3">
        <v>1.5294117647058824E-3</v>
      </c>
      <c r="S36" s="2">
        <f t="shared" si="6"/>
        <v>3.3088235294117645</v>
      </c>
      <c r="T36">
        <v>340000</v>
      </c>
      <c r="U36" s="2">
        <v>900</v>
      </c>
      <c r="V36">
        <v>180</v>
      </c>
      <c r="W36">
        <v>165</v>
      </c>
      <c r="X36" s="2">
        <f t="shared" si="7"/>
        <v>5.4545454545454541</v>
      </c>
      <c r="Y36" s="2">
        <f t="shared" si="8"/>
        <v>5</v>
      </c>
      <c r="Z36" s="3"/>
      <c r="AB36" s="2">
        <f t="shared" si="9"/>
        <v>2.6470588235294117</v>
      </c>
      <c r="AC36">
        <v>170000</v>
      </c>
      <c r="AD36" s="2">
        <v>925</v>
      </c>
      <c r="AE36">
        <v>670</v>
      </c>
      <c r="AF36">
        <v>5</v>
      </c>
      <c r="AG36" s="2">
        <v>185</v>
      </c>
      <c r="AH36" s="2">
        <v>1.3805970149253732</v>
      </c>
      <c r="AI36" s="3">
        <v>3.9411764705882353E-3</v>
      </c>
      <c r="AK36" s="2">
        <f t="shared" si="10"/>
        <v>5.4411764705882355</v>
      </c>
      <c r="AL36">
        <v>310000</v>
      </c>
      <c r="AM36" s="2">
        <v>1250</v>
      </c>
      <c r="AN36">
        <v>560</v>
      </c>
      <c r="AO36">
        <v>210</v>
      </c>
      <c r="AP36" s="2">
        <v>5.9523809523809526</v>
      </c>
      <c r="AQ36" s="2">
        <v>2.2321428571428572</v>
      </c>
      <c r="AR36" s="3">
        <v>1.8064516129032257E-3</v>
      </c>
      <c r="AT36" s="2">
        <f t="shared" si="11"/>
        <v>4.032258064516129</v>
      </c>
      <c r="AU36" s="68">
        <f>SUM(B36+K36+T36+AC36+AL36)</f>
        <v>1610000</v>
      </c>
      <c r="AV36" s="69">
        <f>SUM(C36+L36+U36+AD36+AM36)</f>
        <v>5325</v>
      </c>
      <c r="AW36" s="70">
        <f>SUM(D36+M36+V36+AE36+AN36)</f>
        <v>2570</v>
      </c>
      <c r="AX36" s="70">
        <f>SUM(E36+N36+W36+AF36+AO36)</f>
        <v>560</v>
      </c>
      <c r="AY36" s="69">
        <f t="shared" si="0"/>
        <v>9.5089285714285712</v>
      </c>
      <c r="AZ36" s="69">
        <f t="shared" si="1"/>
        <v>2.0719844357976656</v>
      </c>
      <c r="BA36" s="71">
        <f t="shared" si="2"/>
        <v>1.5962732919254658E-3</v>
      </c>
      <c r="BB36" s="71">
        <f t="shared" si="3"/>
        <v>0.21789883268482491</v>
      </c>
      <c r="BC36" s="69">
        <f t="shared" si="4"/>
        <v>3.3074534161490683</v>
      </c>
    </row>
    <row r="37" spans="1:56" x14ac:dyDescent="0.35">
      <c r="A37" s="1">
        <v>41733</v>
      </c>
      <c r="B37">
        <v>400000</v>
      </c>
      <c r="C37" s="2">
        <v>400</v>
      </c>
      <c r="D37">
        <v>580</v>
      </c>
      <c r="E37">
        <v>250</v>
      </c>
      <c r="F37" s="2">
        <v>1.6</v>
      </c>
      <c r="G37" s="2">
        <v>0.68965517241379315</v>
      </c>
      <c r="H37" s="3">
        <v>1.4499999999999999E-3</v>
      </c>
      <c r="J37" s="2">
        <f t="shared" si="5"/>
        <v>1</v>
      </c>
      <c r="K37">
        <v>120000</v>
      </c>
      <c r="L37" s="2">
        <v>150</v>
      </c>
      <c r="M37">
        <v>330</v>
      </c>
      <c r="N37">
        <v>15</v>
      </c>
      <c r="O37" s="2">
        <v>10</v>
      </c>
      <c r="P37" s="2">
        <v>0.45454545454545453</v>
      </c>
      <c r="Q37" s="3">
        <v>2.7499999999999998E-3</v>
      </c>
      <c r="S37" s="2">
        <f t="shared" si="6"/>
        <v>1.25</v>
      </c>
      <c r="T37">
        <v>290000</v>
      </c>
      <c r="U37" s="2">
        <v>825</v>
      </c>
      <c r="V37">
        <v>100</v>
      </c>
      <c r="W37">
        <v>75</v>
      </c>
      <c r="X37" s="2">
        <f t="shared" si="7"/>
        <v>11</v>
      </c>
      <c r="Y37" s="2">
        <f t="shared" si="8"/>
        <v>8.25</v>
      </c>
      <c r="Z37" s="3"/>
      <c r="AB37" s="2">
        <f t="shared" si="9"/>
        <v>2.8448275862068964</v>
      </c>
      <c r="AC37">
        <v>470000</v>
      </c>
      <c r="AD37" s="2">
        <v>1125</v>
      </c>
      <c r="AE37">
        <v>290</v>
      </c>
      <c r="AF37">
        <v>230</v>
      </c>
      <c r="AG37" s="2">
        <v>4.8913043478260869</v>
      </c>
      <c r="AH37" s="2">
        <v>3.8793103448275863</v>
      </c>
      <c r="AI37" s="3">
        <v>6.1702127659574472E-4</v>
      </c>
      <c r="AK37" s="2">
        <f t="shared" si="10"/>
        <v>2.3936170212765959</v>
      </c>
      <c r="AL37">
        <v>250000</v>
      </c>
      <c r="AM37" s="2">
        <v>575</v>
      </c>
      <c r="AN37">
        <v>620</v>
      </c>
      <c r="AO37">
        <v>240</v>
      </c>
      <c r="AP37" s="2">
        <v>2.3958333333333335</v>
      </c>
      <c r="AQ37" s="2">
        <v>0.92741935483870963</v>
      </c>
      <c r="AR37" s="3">
        <v>2.48E-3</v>
      </c>
      <c r="AT37" s="2">
        <f t="shared" si="11"/>
        <v>2.2999999999999998</v>
      </c>
      <c r="AU37" s="68">
        <f>SUM(B37+K37+T37+AC37+AL37)</f>
        <v>1530000</v>
      </c>
      <c r="AV37" s="69">
        <f>SUM(C37+L37+U37+AD37+AM37)</f>
        <v>3075</v>
      </c>
      <c r="AW37" s="70">
        <f>SUM(D37+M37+V37+AE37+AN37)</f>
        <v>1920</v>
      </c>
      <c r="AX37" s="70">
        <f>SUM(E37+N37+W37+AF37+AO37)</f>
        <v>810</v>
      </c>
      <c r="AY37" s="69">
        <f t="shared" si="0"/>
        <v>3.7962962962962963</v>
      </c>
      <c r="AZ37" s="69">
        <f t="shared" si="1"/>
        <v>1.6015625</v>
      </c>
      <c r="BA37" s="71">
        <f t="shared" si="2"/>
        <v>1.2549019607843138E-3</v>
      </c>
      <c r="BB37" s="71">
        <f t="shared" si="3"/>
        <v>0.421875</v>
      </c>
      <c r="BC37" s="69">
        <f t="shared" si="4"/>
        <v>2.0098039215686274</v>
      </c>
    </row>
    <row r="38" spans="1:56" x14ac:dyDescent="0.35">
      <c r="A38" s="1">
        <v>41734</v>
      </c>
      <c r="B38">
        <v>120000</v>
      </c>
      <c r="C38" s="2">
        <v>175</v>
      </c>
      <c r="D38">
        <v>390</v>
      </c>
      <c r="E38">
        <v>50</v>
      </c>
      <c r="F38" s="2">
        <v>3.5</v>
      </c>
      <c r="G38" s="2">
        <v>0.44871794871794873</v>
      </c>
      <c r="H38" s="3">
        <v>3.2499999999999999E-3</v>
      </c>
      <c r="J38" s="2">
        <f t="shared" si="5"/>
        <v>1.4583333333333333</v>
      </c>
      <c r="K38">
        <v>100000</v>
      </c>
      <c r="L38" s="2">
        <v>600</v>
      </c>
      <c r="M38">
        <v>330</v>
      </c>
      <c r="N38">
        <v>35</v>
      </c>
      <c r="O38" s="2">
        <v>17.142857142857142</v>
      </c>
      <c r="P38" s="2">
        <v>1.8181818181818181</v>
      </c>
      <c r="Q38" s="3">
        <v>3.3E-3</v>
      </c>
      <c r="S38" s="2">
        <f t="shared" si="6"/>
        <v>6</v>
      </c>
      <c r="T38">
        <v>440000</v>
      </c>
      <c r="U38" s="2">
        <v>375</v>
      </c>
      <c r="V38">
        <v>740</v>
      </c>
      <c r="W38">
        <v>195</v>
      </c>
      <c r="X38" s="2">
        <f t="shared" si="7"/>
        <v>1.9230769230769231</v>
      </c>
      <c r="Y38" s="2">
        <f t="shared" si="8"/>
        <v>0.5067567567567568</v>
      </c>
      <c r="Z38" s="3"/>
      <c r="AB38" s="2">
        <f t="shared" si="9"/>
        <v>0.85227272727272729</v>
      </c>
      <c r="AC38">
        <v>400000</v>
      </c>
      <c r="AD38" s="2">
        <v>1200</v>
      </c>
      <c r="AE38">
        <v>100</v>
      </c>
      <c r="AF38">
        <v>185</v>
      </c>
      <c r="AG38" s="2">
        <v>6.4864864864864868</v>
      </c>
      <c r="AH38" s="2">
        <v>12</v>
      </c>
      <c r="AI38" s="3">
        <v>2.5000000000000001E-4</v>
      </c>
      <c r="AK38" s="2">
        <f t="shared" si="10"/>
        <v>3</v>
      </c>
      <c r="AL38">
        <v>400000</v>
      </c>
      <c r="AM38" s="2">
        <v>1025</v>
      </c>
      <c r="AN38">
        <v>280</v>
      </c>
      <c r="AO38">
        <v>160</v>
      </c>
      <c r="AP38" s="2">
        <v>6.40625</v>
      </c>
      <c r="AQ38" s="2">
        <v>3.6607142857142856</v>
      </c>
      <c r="AR38" s="3">
        <v>6.9999999999999999E-4</v>
      </c>
      <c r="AT38" s="2">
        <f>AM38/(AL38/1000)</f>
        <v>2.5625</v>
      </c>
      <c r="AU38" s="68">
        <f>SUM(B38+K38+T38+AC38+AL38)</f>
        <v>1460000</v>
      </c>
      <c r="AV38" s="69">
        <f>SUM(C38+L38+U38+AD38+AM38)</f>
        <v>3375</v>
      </c>
      <c r="AW38" s="70">
        <f>SUM(D38+M38+V38+AE38+AN38)</f>
        <v>1840</v>
      </c>
      <c r="AX38" s="70">
        <f>SUM(E38+N38+W38+AF38+AO38)</f>
        <v>625</v>
      </c>
      <c r="AY38" s="69">
        <f t="shared" si="0"/>
        <v>5.4</v>
      </c>
      <c r="AZ38" s="69">
        <f t="shared" si="1"/>
        <v>1.8342391304347827</v>
      </c>
      <c r="BA38" s="71">
        <f t="shared" si="2"/>
        <v>1.2602739726027398E-3</v>
      </c>
      <c r="BB38" s="71">
        <f t="shared" si="3"/>
        <v>0.33967391304347827</v>
      </c>
      <c r="BC38" s="69">
        <f t="shared" si="4"/>
        <v>2.3116438356164384</v>
      </c>
    </row>
    <row r="39" spans="1:56" x14ac:dyDescent="0.35">
      <c r="A39" s="1">
        <v>41735</v>
      </c>
      <c r="B39">
        <v>180000</v>
      </c>
      <c r="C39" s="2">
        <v>750</v>
      </c>
      <c r="D39">
        <v>580</v>
      </c>
      <c r="E39">
        <v>55</v>
      </c>
      <c r="F39" s="2">
        <v>13.636363636363637</v>
      </c>
      <c r="G39" s="2">
        <v>1.2931034482758621</v>
      </c>
      <c r="H39" s="3">
        <v>3.2222222222222222E-3</v>
      </c>
      <c r="J39" s="2">
        <f t="shared" si="5"/>
        <v>4.166666666666667</v>
      </c>
      <c r="K39">
        <v>100000</v>
      </c>
      <c r="L39" s="2">
        <v>950</v>
      </c>
      <c r="M39">
        <v>600</v>
      </c>
      <c r="N39">
        <v>205</v>
      </c>
      <c r="O39" s="2">
        <v>4.6341463414634143</v>
      </c>
      <c r="P39" s="2">
        <v>1.5833333333333333</v>
      </c>
      <c r="Q39" s="3">
        <v>6.0000000000000001E-3</v>
      </c>
      <c r="S39" s="2">
        <f t="shared" si="6"/>
        <v>9.5</v>
      </c>
      <c r="T39">
        <v>500000</v>
      </c>
      <c r="U39" s="2">
        <v>375</v>
      </c>
      <c r="V39">
        <v>580</v>
      </c>
      <c r="W39">
        <v>195</v>
      </c>
      <c r="X39" s="2">
        <f t="shared" si="7"/>
        <v>1.9230769230769231</v>
      </c>
      <c r="Y39" s="2">
        <f t="shared" si="8"/>
        <v>0.64655172413793105</v>
      </c>
      <c r="Z39" s="3"/>
      <c r="AB39" s="2">
        <f t="shared" si="9"/>
        <v>0.75</v>
      </c>
      <c r="AC39">
        <v>230000</v>
      </c>
      <c r="AD39" s="2">
        <v>575</v>
      </c>
      <c r="AE39">
        <v>200</v>
      </c>
      <c r="AF39">
        <v>210</v>
      </c>
      <c r="AG39" s="2">
        <v>2.7380952380952381</v>
      </c>
      <c r="AH39" s="2">
        <v>2.875</v>
      </c>
      <c r="AI39" s="3">
        <v>8.6956521739130438E-4</v>
      </c>
      <c r="AK39" s="2">
        <f t="shared" si="10"/>
        <v>2.5</v>
      </c>
      <c r="AL39">
        <v>390000</v>
      </c>
      <c r="AM39" s="2">
        <v>1075</v>
      </c>
      <c r="AN39">
        <v>470</v>
      </c>
      <c r="AO39">
        <v>120</v>
      </c>
      <c r="AP39" s="2">
        <v>8.9583333333333339</v>
      </c>
      <c r="AQ39" s="2">
        <v>2.2872340425531914</v>
      </c>
      <c r="AR39" s="3">
        <v>1.2051282051282052E-3</v>
      </c>
      <c r="AT39" s="2">
        <f t="shared" ref="AT39:AT63" si="12">AM39/(AL39/1000)</f>
        <v>2.7564102564102564</v>
      </c>
      <c r="AU39" s="68">
        <f>SUM(B39+K39+T39+AC39+AL39)</f>
        <v>1400000</v>
      </c>
      <c r="AV39" s="69">
        <f>SUM(C39+L39+U39+AD39+AM39)</f>
        <v>3725</v>
      </c>
      <c r="AW39" s="70">
        <f>SUM(D39+M39+V39+AE39+AN39)</f>
        <v>2430</v>
      </c>
      <c r="AX39" s="70">
        <f>SUM(E39+N39+W39+AF39+AO39)</f>
        <v>785</v>
      </c>
      <c r="AY39" s="69">
        <f t="shared" si="0"/>
        <v>4.7452229299363058</v>
      </c>
      <c r="AZ39" s="69">
        <f t="shared" si="1"/>
        <v>1.5329218106995885</v>
      </c>
      <c r="BA39" s="71">
        <f t="shared" si="2"/>
        <v>1.7357142857142857E-3</v>
      </c>
      <c r="BB39" s="71">
        <f t="shared" si="3"/>
        <v>0.32304526748971191</v>
      </c>
      <c r="BC39" s="69">
        <f t="shared" si="4"/>
        <v>2.6607142857142856</v>
      </c>
    </row>
    <row r="40" spans="1:56" x14ac:dyDescent="0.35">
      <c r="A40" s="1">
        <v>41736</v>
      </c>
      <c r="B40">
        <v>310000</v>
      </c>
      <c r="C40" s="2">
        <v>1100</v>
      </c>
      <c r="D40">
        <v>50</v>
      </c>
      <c r="E40">
        <v>15</v>
      </c>
      <c r="F40" s="2">
        <v>73.333333333333329</v>
      </c>
      <c r="G40" s="2">
        <v>22</v>
      </c>
      <c r="H40" s="3">
        <v>1.6129032258064516E-4</v>
      </c>
      <c r="J40" s="2">
        <f t="shared" si="5"/>
        <v>3.5483870967741935</v>
      </c>
      <c r="K40">
        <v>460000</v>
      </c>
      <c r="L40" s="2">
        <v>700</v>
      </c>
      <c r="M40">
        <v>540</v>
      </c>
      <c r="N40">
        <v>230</v>
      </c>
      <c r="O40" s="2">
        <v>3.0434782608695654</v>
      </c>
      <c r="P40" s="2">
        <v>1.2962962962962963</v>
      </c>
      <c r="Q40" s="3">
        <v>1.1739130434782609E-3</v>
      </c>
      <c r="S40" s="2">
        <f t="shared" si="6"/>
        <v>1.5217391304347827</v>
      </c>
      <c r="T40">
        <v>10000</v>
      </c>
      <c r="U40" s="2">
        <v>800</v>
      </c>
      <c r="V40">
        <v>280</v>
      </c>
      <c r="W40">
        <v>75</v>
      </c>
      <c r="X40" s="2">
        <f t="shared" si="7"/>
        <v>10.666666666666666</v>
      </c>
      <c r="Y40" s="2">
        <f t="shared" si="8"/>
        <v>2.8571428571428572</v>
      </c>
      <c r="Z40" s="3"/>
      <c r="AB40" s="2">
        <f t="shared" si="9"/>
        <v>80</v>
      </c>
      <c r="AC40">
        <v>320000</v>
      </c>
      <c r="AD40" s="2">
        <v>800</v>
      </c>
      <c r="AE40">
        <v>170</v>
      </c>
      <c r="AF40">
        <v>80</v>
      </c>
      <c r="AG40" s="2">
        <v>10</v>
      </c>
      <c r="AH40" s="2">
        <v>4.7058823529411766</v>
      </c>
      <c r="AI40" s="3">
        <v>5.3125000000000004E-4</v>
      </c>
      <c r="AK40" s="2">
        <f t="shared" si="10"/>
        <v>2.5</v>
      </c>
      <c r="AL40">
        <v>360000</v>
      </c>
      <c r="AM40" s="2">
        <v>150</v>
      </c>
      <c r="AN40">
        <v>550</v>
      </c>
      <c r="AO40">
        <v>160</v>
      </c>
      <c r="AP40" s="2">
        <v>0.9375</v>
      </c>
      <c r="AQ40" s="2">
        <v>0.27272727272727271</v>
      </c>
      <c r="AR40" s="3">
        <v>1.5277777777777779E-3</v>
      </c>
      <c r="AT40" s="2">
        <f t="shared" si="12"/>
        <v>0.41666666666666669</v>
      </c>
      <c r="AU40" s="68">
        <f>SUM(B40+K40+T40+AC40+AL40)</f>
        <v>1460000</v>
      </c>
      <c r="AV40" s="69">
        <f>SUM(C40+L40+U40+AD40+AM40)</f>
        <v>3550</v>
      </c>
      <c r="AW40" s="70">
        <f>SUM(D40+M40+V40+AE40+AN40)</f>
        <v>1590</v>
      </c>
      <c r="AX40" s="70">
        <f>SUM(E40+N40+W40+AF40+AO40)</f>
        <v>560</v>
      </c>
      <c r="AY40" s="69">
        <f t="shared" si="0"/>
        <v>6.3392857142857144</v>
      </c>
      <c r="AZ40" s="69">
        <f t="shared" si="1"/>
        <v>2.2327044025157234</v>
      </c>
      <c r="BA40" s="71">
        <f t="shared" si="2"/>
        <v>1.0890410958904109E-3</v>
      </c>
      <c r="BB40" s="71">
        <f t="shared" si="3"/>
        <v>0.3522012578616352</v>
      </c>
      <c r="BC40" s="69">
        <f t="shared" si="4"/>
        <v>2.4315068493150687</v>
      </c>
    </row>
    <row r="41" spans="1:56" x14ac:dyDescent="0.35">
      <c r="A41" s="1">
        <v>41737</v>
      </c>
      <c r="B41">
        <v>20000</v>
      </c>
      <c r="C41" s="2">
        <v>975</v>
      </c>
      <c r="D41">
        <v>100</v>
      </c>
      <c r="E41">
        <v>130</v>
      </c>
      <c r="F41" s="2">
        <v>7.5</v>
      </c>
      <c r="G41" s="2">
        <v>9.75</v>
      </c>
      <c r="H41" s="3">
        <v>5.0000000000000001E-3</v>
      </c>
      <c r="J41" s="2">
        <f t="shared" si="5"/>
        <v>48.75</v>
      </c>
      <c r="K41">
        <v>230000</v>
      </c>
      <c r="L41" s="2">
        <v>700</v>
      </c>
      <c r="M41">
        <v>130</v>
      </c>
      <c r="N41">
        <v>120</v>
      </c>
      <c r="O41" s="2">
        <v>5.833333333333333</v>
      </c>
      <c r="P41" s="2">
        <v>5.384615384615385</v>
      </c>
      <c r="Q41" s="3">
        <v>5.6521739130434778E-4</v>
      </c>
      <c r="S41" s="2">
        <f t="shared" si="6"/>
        <v>3.0434782608695654</v>
      </c>
      <c r="T41">
        <v>100000</v>
      </c>
      <c r="U41" s="2">
        <v>400</v>
      </c>
      <c r="V41">
        <v>730</v>
      </c>
      <c r="W41">
        <v>30</v>
      </c>
      <c r="X41" s="2">
        <f t="shared" si="7"/>
        <v>13.333333333333334</v>
      </c>
      <c r="Y41" s="2">
        <f t="shared" si="8"/>
        <v>0.54794520547945202</v>
      </c>
      <c r="Z41" s="3"/>
      <c r="AB41" s="2">
        <f t="shared" si="9"/>
        <v>4</v>
      </c>
      <c r="AC41">
        <v>450000</v>
      </c>
      <c r="AD41" s="2">
        <v>825</v>
      </c>
      <c r="AE41">
        <v>540</v>
      </c>
      <c r="AF41">
        <v>50</v>
      </c>
      <c r="AG41" s="2">
        <v>16.5</v>
      </c>
      <c r="AH41" s="2">
        <v>1.5277777777777777</v>
      </c>
      <c r="AI41" s="3">
        <v>1.1999999999999999E-3</v>
      </c>
      <c r="AK41" s="2">
        <f t="shared" si="10"/>
        <v>1.8333333333333333</v>
      </c>
      <c r="AL41">
        <v>20000</v>
      </c>
      <c r="AM41" s="2">
        <v>1250</v>
      </c>
      <c r="AN41">
        <v>510</v>
      </c>
      <c r="AO41">
        <v>60</v>
      </c>
      <c r="AP41" s="2">
        <v>20.833333333333332</v>
      </c>
      <c r="AQ41" s="2">
        <v>2.4509803921568629</v>
      </c>
      <c r="AR41" s="3">
        <v>2.5499999999999998E-2</v>
      </c>
      <c r="AT41" s="2">
        <f t="shared" si="12"/>
        <v>62.5</v>
      </c>
      <c r="AU41" s="68">
        <f>SUM(B41+K41+T41+AC41+AL41)</f>
        <v>820000</v>
      </c>
      <c r="AV41" s="69">
        <f>SUM(C41+L41+U41+AD41+AM41)</f>
        <v>4150</v>
      </c>
      <c r="AW41" s="70">
        <f>SUM(D41+M41+V41+AE41+AN41)</f>
        <v>2010</v>
      </c>
      <c r="AX41" s="70">
        <f>SUM(E41+N41+W41+AF41+AO41)</f>
        <v>390</v>
      </c>
      <c r="AY41" s="69">
        <f t="shared" si="0"/>
        <v>10.641025641025641</v>
      </c>
      <c r="AZ41" s="69">
        <f t="shared" si="1"/>
        <v>2.0646766169154227</v>
      </c>
      <c r="BA41" s="71">
        <f t="shared" si="2"/>
        <v>2.451219512195122E-3</v>
      </c>
      <c r="BB41" s="71">
        <f t="shared" si="3"/>
        <v>0.19402985074626866</v>
      </c>
      <c r="BC41" s="69">
        <f t="shared" si="4"/>
        <v>5.0609756097560972</v>
      </c>
    </row>
    <row r="42" spans="1:56" x14ac:dyDescent="0.35">
      <c r="A42" s="1">
        <v>41738</v>
      </c>
      <c r="B42">
        <v>460000</v>
      </c>
      <c r="C42" s="2">
        <v>50</v>
      </c>
      <c r="D42">
        <v>540</v>
      </c>
      <c r="E42">
        <v>45</v>
      </c>
      <c r="F42" s="2">
        <v>1.1111111111111112</v>
      </c>
      <c r="G42" s="2">
        <v>9.2592592592592587E-2</v>
      </c>
      <c r="H42" s="3">
        <v>1.1739130434782609E-3</v>
      </c>
      <c r="J42" s="2">
        <f t="shared" si="5"/>
        <v>0.10869565217391304</v>
      </c>
      <c r="K42">
        <v>250000</v>
      </c>
      <c r="L42" s="2">
        <v>300</v>
      </c>
      <c r="M42">
        <v>230</v>
      </c>
      <c r="N42">
        <v>60</v>
      </c>
      <c r="O42" s="2">
        <v>5</v>
      </c>
      <c r="P42" s="2">
        <v>1.3043478260869565</v>
      </c>
      <c r="Q42" s="3">
        <v>9.2000000000000003E-4</v>
      </c>
      <c r="S42" s="2">
        <f t="shared" si="6"/>
        <v>1.2</v>
      </c>
      <c r="T42">
        <v>270000</v>
      </c>
      <c r="U42" s="2">
        <v>925</v>
      </c>
      <c r="V42">
        <v>300</v>
      </c>
      <c r="W42">
        <v>25</v>
      </c>
      <c r="X42" s="2">
        <f t="shared" si="7"/>
        <v>37</v>
      </c>
      <c r="Y42" s="2">
        <f t="shared" si="8"/>
        <v>3.0833333333333335</v>
      </c>
      <c r="Z42" s="3"/>
      <c r="AB42" s="2">
        <f t="shared" si="9"/>
        <v>3.425925925925926</v>
      </c>
      <c r="AC42">
        <v>360000</v>
      </c>
      <c r="AD42" s="2">
        <v>875</v>
      </c>
      <c r="AE42">
        <v>80</v>
      </c>
      <c r="AF42">
        <v>225</v>
      </c>
      <c r="AG42" s="2">
        <v>3.8888888888888888</v>
      </c>
      <c r="AH42" s="2">
        <v>10.9375</v>
      </c>
      <c r="AI42" s="3">
        <v>2.2222222222222223E-4</v>
      </c>
      <c r="AK42" s="2">
        <f t="shared" si="10"/>
        <v>2.4305555555555554</v>
      </c>
      <c r="AL42">
        <v>330000</v>
      </c>
      <c r="AM42" s="2">
        <v>925</v>
      </c>
      <c r="AN42">
        <v>460</v>
      </c>
      <c r="AO42">
        <v>195</v>
      </c>
      <c r="AP42" s="2">
        <v>4.7435897435897436</v>
      </c>
      <c r="AQ42" s="2">
        <v>2.0108695652173911</v>
      </c>
      <c r="AR42" s="3">
        <v>1.393939393939394E-3</v>
      </c>
      <c r="AT42" s="2">
        <f t="shared" si="12"/>
        <v>2.8030303030303032</v>
      </c>
      <c r="AU42" s="68">
        <f>SUM(B42+K42+T42+AC42+AL42)</f>
        <v>1670000</v>
      </c>
      <c r="AV42" s="69">
        <f>SUM(C42+L42+U42+AD42+AM42)</f>
        <v>3075</v>
      </c>
      <c r="AW42" s="70">
        <f>SUM(D42+M42+V42+AE42+AN42)</f>
        <v>1610</v>
      </c>
      <c r="AX42" s="70">
        <f>SUM(E42+N42+W42+AF42+AO42)</f>
        <v>550</v>
      </c>
      <c r="AY42" s="69">
        <f t="shared" si="0"/>
        <v>5.5909090909090908</v>
      </c>
      <c r="AZ42" s="69">
        <f t="shared" si="1"/>
        <v>1.9099378881987579</v>
      </c>
      <c r="BA42" s="71">
        <f t="shared" si="2"/>
        <v>9.6407185628742513E-4</v>
      </c>
      <c r="BB42" s="71">
        <f t="shared" si="3"/>
        <v>0.34161490683229812</v>
      </c>
      <c r="BC42" s="69">
        <f t="shared" si="4"/>
        <v>1.841317365269461</v>
      </c>
    </row>
    <row r="43" spans="1:56" x14ac:dyDescent="0.35">
      <c r="A43" s="1">
        <v>41739</v>
      </c>
      <c r="B43">
        <v>10000</v>
      </c>
      <c r="C43" s="2">
        <v>1200</v>
      </c>
      <c r="D43">
        <v>460</v>
      </c>
      <c r="E43">
        <v>185</v>
      </c>
      <c r="F43" s="2">
        <v>6.4864864864864868</v>
      </c>
      <c r="G43" s="2">
        <v>2.6086956521739131</v>
      </c>
      <c r="H43" s="3">
        <v>4.5999999999999999E-2</v>
      </c>
      <c r="J43" s="2">
        <f t="shared" si="5"/>
        <v>120</v>
      </c>
      <c r="K43">
        <v>70000</v>
      </c>
      <c r="L43" s="2">
        <v>525</v>
      </c>
      <c r="M43">
        <v>490</v>
      </c>
      <c r="N43">
        <v>235</v>
      </c>
      <c r="O43" s="2">
        <v>2.2340425531914891</v>
      </c>
      <c r="P43" s="2">
        <v>1.0714285714285714</v>
      </c>
      <c r="Q43" s="3">
        <v>7.0000000000000001E-3</v>
      </c>
      <c r="S43" s="2">
        <f t="shared" si="6"/>
        <v>7.5</v>
      </c>
      <c r="T43">
        <v>240000</v>
      </c>
      <c r="U43" s="2">
        <v>1250</v>
      </c>
      <c r="V43">
        <v>160</v>
      </c>
      <c r="W43">
        <v>205</v>
      </c>
      <c r="X43" s="2">
        <f t="shared" si="7"/>
        <v>6.0975609756097562</v>
      </c>
      <c r="Y43" s="2">
        <f t="shared" si="8"/>
        <v>7.8125</v>
      </c>
      <c r="Z43" s="3"/>
      <c r="AB43" s="2">
        <f t="shared" si="9"/>
        <v>5.208333333333333</v>
      </c>
      <c r="AC43">
        <v>100000</v>
      </c>
      <c r="AD43" s="2">
        <v>50</v>
      </c>
      <c r="AE43">
        <v>520</v>
      </c>
      <c r="AF43">
        <v>175</v>
      </c>
      <c r="AG43" s="2">
        <v>0.2857142857142857</v>
      </c>
      <c r="AH43" s="2">
        <v>9.6153846153846159E-2</v>
      </c>
      <c r="AI43" s="3">
        <v>5.1999999999999998E-3</v>
      </c>
      <c r="AK43" s="2">
        <f t="shared" si="10"/>
        <v>0.5</v>
      </c>
      <c r="AL43">
        <v>360000</v>
      </c>
      <c r="AM43" s="2">
        <v>375</v>
      </c>
      <c r="AN43">
        <v>660</v>
      </c>
      <c r="AO43">
        <v>230</v>
      </c>
      <c r="AP43" s="2">
        <v>1.6304347826086956</v>
      </c>
      <c r="AQ43" s="2">
        <v>0.56818181818181823</v>
      </c>
      <c r="AR43" s="3">
        <v>1.8333333333333333E-3</v>
      </c>
      <c r="AT43" s="2">
        <f t="shared" si="12"/>
        <v>1.0416666666666667</v>
      </c>
      <c r="AU43" s="68">
        <f>SUM(B43+K43+T43+AC43+AL43)</f>
        <v>780000</v>
      </c>
      <c r="AV43" s="69">
        <f>SUM(C43+L43+U43+AD43+AM43)</f>
        <v>3400</v>
      </c>
      <c r="AW43" s="70">
        <f>SUM(D43+M43+V43+AE43+AN43)</f>
        <v>2290</v>
      </c>
      <c r="AX43" s="70">
        <f>SUM(E43+N43+W43+AF43+AO43)</f>
        <v>1030</v>
      </c>
      <c r="AY43" s="69">
        <f t="shared" si="0"/>
        <v>3.3009708737864076</v>
      </c>
      <c r="AZ43" s="69">
        <f t="shared" si="1"/>
        <v>1.4847161572052401</v>
      </c>
      <c r="BA43" s="71">
        <f t="shared" si="2"/>
        <v>2.935897435897436E-3</v>
      </c>
      <c r="BB43" s="71">
        <f t="shared" si="3"/>
        <v>0.44978165938864628</v>
      </c>
      <c r="BC43" s="69">
        <f t="shared" si="4"/>
        <v>4.3589743589743586</v>
      </c>
    </row>
    <row r="44" spans="1:56" x14ac:dyDescent="0.35">
      <c r="A44" s="1">
        <v>41740</v>
      </c>
      <c r="B44">
        <v>490000</v>
      </c>
      <c r="C44" s="2">
        <v>50</v>
      </c>
      <c r="D44">
        <v>280</v>
      </c>
      <c r="E44">
        <v>70</v>
      </c>
      <c r="F44" s="2">
        <v>0.7142857142857143</v>
      </c>
      <c r="G44" s="2">
        <v>0.17857142857142858</v>
      </c>
      <c r="H44" s="3">
        <v>5.7142857142857147E-4</v>
      </c>
      <c r="J44" s="2">
        <f t="shared" si="5"/>
        <v>0.10204081632653061</v>
      </c>
      <c r="K44">
        <v>220000</v>
      </c>
      <c r="L44" s="2">
        <v>1150</v>
      </c>
      <c r="M44">
        <v>100</v>
      </c>
      <c r="N44">
        <v>145</v>
      </c>
      <c r="O44" s="2">
        <v>7.931034482758621</v>
      </c>
      <c r="P44" s="2">
        <v>11.5</v>
      </c>
      <c r="Q44" s="3">
        <v>4.5454545454545455E-4</v>
      </c>
      <c r="S44" s="2">
        <f t="shared" si="6"/>
        <v>5.2272727272727275</v>
      </c>
      <c r="T44">
        <v>300000</v>
      </c>
      <c r="U44" s="2">
        <v>850</v>
      </c>
      <c r="V44">
        <v>390</v>
      </c>
      <c r="W44">
        <v>65</v>
      </c>
      <c r="X44" s="2">
        <f t="shared" si="7"/>
        <v>13.076923076923077</v>
      </c>
      <c r="Y44" s="2">
        <f t="shared" si="8"/>
        <v>2.1794871794871793</v>
      </c>
      <c r="Z44" s="3"/>
      <c r="AB44" s="2">
        <f t="shared" si="9"/>
        <v>2.8333333333333335</v>
      </c>
      <c r="AC44">
        <v>490000</v>
      </c>
      <c r="AD44" s="2">
        <v>1225</v>
      </c>
      <c r="AE44">
        <v>260</v>
      </c>
      <c r="AF44">
        <v>105</v>
      </c>
      <c r="AG44" s="2">
        <v>11.666666666666666</v>
      </c>
      <c r="AH44" s="2">
        <v>4.7115384615384617</v>
      </c>
      <c r="AI44" s="3">
        <v>5.3061224489795919E-4</v>
      </c>
      <c r="AK44" s="2">
        <f t="shared" si="10"/>
        <v>2.5</v>
      </c>
      <c r="AL44">
        <v>50000</v>
      </c>
      <c r="AM44" s="2">
        <v>50</v>
      </c>
      <c r="AN44">
        <v>650</v>
      </c>
      <c r="AO44">
        <v>210</v>
      </c>
      <c r="AP44" s="2">
        <v>0.23809523809523808</v>
      </c>
      <c r="AQ44" s="2">
        <v>7.6923076923076927E-2</v>
      </c>
      <c r="AR44" s="3">
        <v>1.2999999999999999E-2</v>
      </c>
      <c r="AT44" s="2">
        <f t="shared" si="12"/>
        <v>1</v>
      </c>
      <c r="AU44" s="68">
        <f>SUM(B44+K44+T44+AC44+AL44)</f>
        <v>1550000</v>
      </c>
      <c r="AV44" s="69">
        <f>SUM(C44+L44+U44+AD44+AM44)</f>
        <v>3325</v>
      </c>
      <c r="AW44" s="70">
        <f>SUM(D44+M44+V44+AE44+AN44)</f>
        <v>1680</v>
      </c>
      <c r="AX44" s="70">
        <f>SUM(E44+N44+W44+AF44+AO44)</f>
        <v>595</v>
      </c>
      <c r="AY44" s="69">
        <f t="shared" si="0"/>
        <v>5.5882352941176467</v>
      </c>
      <c r="AZ44" s="69">
        <f t="shared" si="1"/>
        <v>1.9791666666666667</v>
      </c>
      <c r="BA44" s="71">
        <f t="shared" si="2"/>
        <v>1.0838709677419354E-3</v>
      </c>
      <c r="BB44" s="71">
        <f t="shared" si="3"/>
        <v>0.35416666666666669</v>
      </c>
      <c r="BC44" s="69">
        <f t="shared" si="4"/>
        <v>2.1451612903225805</v>
      </c>
    </row>
    <row r="45" spans="1:56" x14ac:dyDescent="0.35">
      <c r="A45" s="1">
        <v>41741</v>
      </c>
      <c r="B45">
        <v>130000</v>
      </c>
      <c r="C45" s="2">
        <v>575</v>
      </c>
      <c r="D45">
        <v>80</v>
      </c>
      <c r="E45">
        <v>240</v>
      </c>
      <c r="F45" s="2">
        <v>2.3958333333333335</v>
      </c>
      <c r="G45" s="2">
        <v>7.1875</v>
      </c>
      <c r="H45" s="3">
        <v>6.1538461538461541E-4</v>
      </c>
      <c r="J45" s="2">
        <f t="shared" si="5"/>
        <v>4.4230769230769234</v>
      </c>
      <c r="K45">
        <v>370000</v>
      </c>
      <c r="L45" s="2">
        <v>1125</v>
      </c>
      <c r="M45">
        <v>200</v>
      </c>
      <c r="N45">
        <v>35</v>
      </c>
      <c r="O45" s="2">
        <v>32.142857142857146</v>
      </c>
      <c r="P45" s="2">
        <v>5.625</v>
      </c>
      <c r="Q45" s="3">
        <v>5.4054054054054055E-4</v>
      </c>
      <c r="S45" s="2">
        <f t="shared" si="6"/>
        <v>3.0405405405405403</v>
      </c>
      <c r="T45">
        <v>480000</v>
      </c>
      <c r="U45" s="2">
        <v>375</v>
      </c>
      <c r="V45">
        <v>540</v>
      </c>
      <c r="W45">
        <v>110</v>
      </c>
      <c r="X45" s="2">
        <f t="shared" si="7"/>
        <v>3.4090909090909092</v>
      </c>
      <c r="Y45" s="2">
        <f t="shared" si="8"/>
        <v>0.69444444444444442</v>
      </c>
      <c r="Z45" s="3"/>
      <c r="AB45" s="2">
        <f t="shared" si="9"/>
        <v>0.78125</v>
      </c>
      <c r="AC45">
        <v>200000</v>
      </c>
      <c r="AD45" s="2">
        <v>625</v>
      </c>
      <c r="AE45">
        <v>560</v>
      </c>
      <c r="AF45">
        <v>240</v>
      </c>
      <c r="AG45" s="2">
        <v>2.6041666666666665</v>
      </c>
      <c r="AH45" s="2">
        <v>1.1160714285714286</v>
      </c>
      <c r="AI45" s="3">
        <v>2.8E-3</v>
      </c>
      <c r="AK45" s="2">
        <f t="shared" si="10"/>
        <v>3.125</v>
      </c>
      <c r="AL45">
        <v>180000</v>
      </c>
      <c r="AM45" s="2">
        <v>750</v>
      </c>
      <c r="AN45">
        <v>70</v>
      </c>
      <c r="AO45">
        <v>225</v>
      </c>
      <c r="AP45" s="2">
        <v>3.3333333333333335</v>
      </c>
      <c r="AQ45" s="2">
        <v>10.714285714285714</v>
      </c>
      <c r="AR45" s="3">
        <v>3.8888888888888887E-4</v>
      </c>
      <c r="AT45" s="2">
        <f t="shared" si="12"/>
        <v>4.166666666666667</v>
      </c>
      <c r="AU45" s="68">
        <f>SUM(B45+K45+T45+AC45+AL45)</f>
        <v>1360000</v>
      </c>
      <c r="AV45" s="69">
        <f>SUM(C45+L45+U45+AD45+AM45)</f>
        <v>3450</v>
      </c>
      <c r="AW45" s="70">
        <f>SUM(D45+M45+V45+AE45+AN45)</f>
        <v>1450</v>
      </c>
      <c r="AX45" s="70">
        <f>SUM(E45+N45+W45+AF45+AO45)</f>
        <v>850</v>
      </c>
      <c r="AY45" s="69">
        <f t="shared" si="0"/>
        <v>4.0588235294117645</v>
      </c>
      <c r="AZ45" s="69">
        <f t="shared" si="1"/>
        <v>2.3793103448275863</v>
      </c>
      <c r="BA45" s="71">
        <f t="shared" si="2"/>
        <v>1.0661764705882353E-3</v>
      </c>
      <c r="BB45" s="71">
        <f t="shared" si="3"/>
        <v>0.58620689655172409</v>
      </c>
      <c r="BC45" s="69">
        <f t="shared" si="4"/>
        <v>2.5367647058823528</v>
      </c>
    </row>
    <row r="46" spans="1:56" x14ac:dyDescent="0.35">
      <c r="A46" s="1">
        <v>41742</v>
      </c>
      <c r="B46">
        <v>470000</v>
      </c>
      <c r="C46" s="2">
        <v>475</v>
      </c>
      <c r="D46">
        <v>210</v>
      </c>
      <c r="E46">
        <v>10</v>
      </c>
      <c r="F46" s="2">
        <v>47.5</v>
      </c>
      <c r="G46" s="2">
        <v>2.2619047619047619</v>
      </c>
      <c r="H46" s="3">
        <v>4.4680851063829785E-4</v>
      </c>
      <c r="J46" s="2">
        <f t="shared" si="5"/>
        <v>1.0106382978723405</v>
      </c>
      <c r="K46">
        <v>370000</v>
      </c>
      <c r="L46" s="2">
        <v>975</v>
      </c>
      <c r="M46">
        <v>300</v>
      </c>
      <c r="N46">
        <v>25</v>
      </c>
      <c r="O46" s="2">
        <v>39</v>
      </c>
      <c r="P46" s="2">
        <v>3.25</v>
      </c>
      <c r="Q46" s="3">
        <v>8.1081081081081077E-4</v>
      </c>
      <c r="S46" s="2">
        <f t="shared" si="6"/>
        <v>2.6351351351351351</v>
      </c>
      <c r="T46">
        <v>140000</v>
      </c>
      <c r="U46" s="2">
        <v>150</v>
      </c>
      <c r="V46">
        <v>310</v>
      </c>
      <c r="W46">
        <v>205</v>
      </c>
      <c r="X46" s="2">
        <f t="shared" si="7"/>
        <v>0.73170731707317072</v>
      </c>
      <c r="Y46" s="2">
        <f t="shared" si="8"/>
        <v>0.4838709677419355</v>
      </c>
      <c r="Z46" s="3"/>
      <c r="AB46" s="2">
        <f t="shared" si="9"/>
        <v>1.0714285714285714</v>
      </c>
      <c r="AC46">
        <v>200000</v>
      </c>
      <c r="AD46" s="2">
        <v>400</v>
      </c>
      <c r="AE46">
        <v>50</v>
      </c>
      <c r="AF46">
        <v>160</v>
      </c>
      <c r="AG46" s="2">
        <v>2.5</v>
      </c>
      <c r="AH46" s="2">
        <v>8</v>
      </c>
      <c r="AI46" s="3">
        <v>2.5000000000000001E-4</v>
      </c>
      <c r="AK46" s="2">
        <f t="shared" si="10"/>
        <v>2</v>
      </c>
      <c r="AL46">
        <v>330000</v>
      </c>
      <c r="AM46" s="2">
        <v>750</v>
      </c>
      <c r="AN46">
        <v>350</v>
      </c>
      <c r="AO46">
        <v>160</v>
      </c>
      <c r="AP46" s="2">
        <v>4.6875</v>
      </c>
      <c r="AQ46" s="2">
        <v>2.1428571428571428</v>
      </c>
      <c r="AR46" s="3">
        <v>1.0606060606060607E-3</v>
      </c>
      <c r="AT46" s="2">
        <f t="shared" si="12"/>
        <v>2.2727272727272729</v>
      </c>
      <c r="AU46" s="68">
        <f>SUM(B46+K46+T46+AC46+AL46)</f>
        <v>1510000</v>
      </c>
      <c r="AV46" s="69">
        <f>SUM(C46+L46+U46+AD46+AM46)</f>
        <v>2750</v>
      </c>
      <c r="AW46" s="70">
        <f>SUM(D46+M46+V46+AE46+AN46)</f>
        <v>1220</v>
      </c>
      <c r="AX46" s="70">
        <f>SUM(E46+N46+W46+AF46+AO46)</f>
        <v>560</v>
      </c>
      <c r="AY46" s="69">
        <f t="shared" si="0"/>
        <v>4.9107142857142856</v>
      </c>
      <c r="AZ46" s="69">
        <f t="shared" si="1"/>
        <v>2.2540983606557377</v>
      </c>
      <c r="BA46" s="71">
        <f t="shared" si="2"/>
        <v>8.0794701986754971E-4</v>
      </c>
      <c r="BB46" s="71">
        <f t="shared" si="3"/>
        <v>0.45901639344262296</v>
      </c>
      <c r="BC46" s="69">
        <f t="shared" si="4"/>
        <v>1.8211920529801324</v>
      </c>
    </row>
    <row r="47" spans="1:56" x14ac:dyDescent="0.35">
      <c r="A47" s="1">
        <v>41743</v>
      </c>
      <c r="B47">
        <v>360000</v>
      </c>
      <c r="C47" s="2">
        <v>925</v>
      </c>
      <c r="D47">
        <v>540</v>
      </c>
      <c r="E47">
        <v>175</v>
      </c>
      <c r="F47" s="2">
        <v>5.2857142857142856</v>
      </c>
      <c r="G47" s="2">
        <v>1.712962962962963</v>
      </c>
      <c r="H47" s="3">
        <v>1.5E-3</v>
      </c>
      <c r="J47" s="2">
        <f t="shared" si="5"/>
        <v>2.5694444444444446</v>
      </c>
      <c r="K47">
        <v>40000</v>
      </c>
      <c r="L47" s="2">
        <v>175</v>
      </c>
      <c r="M47">
        <v>370</v>
      </c>
      <c r="N47">
        <v>240</v>
      </c>
      <c r="O47" s="2">
        <v>0.72916666666666663</v>
      </c>
      <c r="P47" s="2">
        <v>0.47297297297297297</v>
      </c>
      <c r="Q47" s="3">
        <v>9.2499999999999995E-3</v>
      </c>
      <c r="S47" s="2">
        <f t="shared" si="6"/>
        <v>4.375</v>
      </c>
      <c r="T47">
        <v>230000</v>
      </c>
      <c r="U47" s="2">
        <v>875</v>
      </c>
      <c r="V47">
        <v>390</v>
      </c>
      <c r="W47">
        <v>35</v>
      </c>
      <c r="X47" s="2">
        <f t="shared" si="7"/>
        <v>25</v>
      </c>
      <c r="Y47" s="2">
        <f t="shared" si="8"/>
        <v>2.2435897435897436</v>
      </c>
      <c r="Z47" s="3"/>
      <c r="AB47" s="2">
        <f t="shared" si="9"/>
        <v>3.8043478260869565</v>
      </c>
      <c r="AC47">
        <v>300000</v>
      </c>
      <c r="AD47" s="2">
        <v>850</v>
      </c>
      <c r="AE47">
        <v>160</v>
      </c>
      <c r="AF47">
        <v>240</v>
      </c>
      <c r="AG47" s="2">
        <v>3.5416666666666665</v>
      </c>
      <c r="AH47" s="2">
        <v>5.3125</v>
      </c>
      <c r="AI47" s="3">
        <v>5.3333333333333336E-4</v>
      </c>
      <c r="AK47" s="2">
        <f t="shared" si="10"/>
        <v>2.8333333333333335</v>
      </c>
      <c r="AL47">
        <v>210000</v>
      </c>
      <c r="AM47" s="2">
        <v>1175</v>
      </c>
      <c r="AN47">
        <v>710</v>
      </c>
      <c r="AO47">
        <v>115</v>
      </c>
      <c r="AP47" s="2">
        <v>10.217391304347826</v>
      </c>
      <c r="AQ47" s="2">
        <v>1.6549295774647887</v>
      </c>
      <c r="AR47" s="3">
        <v>3.3809523809523808E-3</v>
      </c>
      <c r="AT47" s="2">
        <f t="shared" si="12"/>
        <v>5.5952380952380949</v>
      </c>
      <c r="AU47" s="68">
        <f>SUM(B47+K47+T47+AC47+AL47)</f>
        <v>1140000</v>
      </c>
      <c r="AV47" s="69">
        <f>SUM(C47+L47+U47+AD47+AM47)</f>
        <v>4000</v>
      </c>
      <c r="AW47" s="70">
        <f>SUM(D47+M47+V47+AE47+AN47)</f>
        <v>2170</v>
      </c>
      <c r="AX47" s="70">
        <f>SUM(E47+N47+W47+AF47+AO47)</f>
        <v>805</v>
      </c>
      <c r="AY47" s="69">
        <f t="shared" si="0"/>
        <v>4.9689440993788816</v>
      </c>
      <c r="AZ47" s="69">
        <f t="shared" si="1"/>
        <v>1.8433179723502304</v>
      </c>
      <c r="BA47" s="71">
        <f t="shared" si="2"/>
        <v>1.9035087719298245E-3</v>
      </c>
      <c r="BB47" s="71">
        <f t="shared" si="3"/>
        <v>0.37096774193548387</v>
      </c>
      <c r="BC47" s="69">
        <f t="shared" si="4"/>
        <v>3.5087719298245612</v>
      </c>
    </row>
    <row r="48" spans="1:56" x14ac:dyDescent="0.35">
      <c r="A48" s="1">
        <v>41744</v>
      </c>
      <c r="B48">
        <v>110000</v>
      </c>
      <c r="C48" s="2">
        <v>400</v>
      </c>
      <c r="D48">
        <v>330</v>
      </c>
      <c r="E48">
        <v>145</v>
      </c>
      <c r="F48" s="2">
        <v>2.7586206896551726</v>
      </c>
      <c r="G48" s="2">
        <v>1.2121212121212122</v>
      </c>
      <c r="H48" s="3">
        <v>3.0000000000000001E-3</v>
      </c>
      <c r="J48" s="2">
        <f t="shared" si="5"/>
        <v>3.6363636363636362</v>
      </c>
      <c r="K48">
        <v>370000</v>
      </c>
      <c r="L48" s="2">
        <v>575</v>
      </c>
      <c r="M48">
        <v>420</v>
      </c>
      <c r="N48">
        <v>140</v>
      </c>
      <c r="O48" s="2">
        <v>4.1071428571428568</v>
      </c>
      <c r="P48" s="2">
        <v>1.3690476190476191</v>
      </c>
      <c r="Q48" s="3">
        <v>1.1351351351351351E-3</v>
      </c>
      <c r="S48" s="2">
        <f t="shared" si="6"/>
        <v>1.5540540540540539</v>
      </c>
      <c r="T48">
        <v>150000</v>
      </c>
      <c r="U48" s="2">
        <v>1100</v>
      </c>
      <c r="V48">
        <v>710</v>
      </c>
      <c r="W48">
        <v>175</v>
      </c>
      <c r="X48" s="2">
        <f t="shared" si="7"/>
        <v>6.2857142857142856</v>
      </c>
      <c r="Y48" s="2">
        <f t="shared" si="8"/>
        <v>1.5492957746478873</v>
      </c>
      <c r="Z48" s="3"/>
      <c r="AB48" s="2">
        <f t="shared" si="9"/>
        <v>7.333333333333333</v>
      </c>
      <c r="AC48">
        <v>150000</v>
      </c>
      <c r="AD48" s="2">
        <v>1125</v>
      </c>
      <c r="AE48">
        <v>430</v>
      </c>
      <c r="AF48">
        <v>140</v>
      </c>
      <c r="AG48" s="2">
        <v>8.0357142857142865</v>
      </c>
      <c r="AH48" s="2">
        <v>2.6162790697674421</v>
      </c>
      <c r="AI48" s="3">
        <v>2.8666666666666667E-3</v>
      </c>
      <c r="AK48" s="2">
        <f t="shared" si="10"/>
        <v>7.5</v>
      </c>
      <c r="AL48">
        <v>460000</v>
      </c>
      <c r="AM48" s="2">
        <v>1000</v>
      </c>
      <c r="AN48">
        <v>110</v>
      </c>
      <c r="AO48">
        <v>85</v>
      </c>
      <c r="AP48" s="2">
        <v>11.764705882352942</v>
      </c>
      <c r="AQ48" s="2">
        <v>9.0909090909090917</v>
      </c>
      <c r="AR48" s="3">
        <v>2.391304347826087E-4</v>
      </c>
      <c r="AT48" s="2">
        <f t="shared" si="12"/>
        <v>2.1739130434782608</v>
      </c>
      <c r="AU48" s="68">
        <f>SUM(B48+K48+T48+AC48+AL48)</f>
        <v>1240000</v>
      </c>
      <c r="AV48" s="69">
        <f>SUM(C48+L48+U48+AD48+AM48)</f>
        <v>4200</v>
      </c>
      <c r="AW48" s="70">
        <f>SUM(D48+M48+V48+AE48+AN48)</f>
        <v>2000</v>
      </c>
      <c r="AX48" s="70">
        <f>SUM(E48+N48+W48+AF48+AO48)</f>
        <v>685</v>
      </c>
      <c r="AY48" s="69">
        <f t="shared" si="0"/>
        <v>6.1313868613138682</v>
      </c>
      <c r="AZ48" s="69">
        <f t="shared" si="1"/>
        <v>2.1</v>
      </c>
      <c r="BA48" s="71">
        <f t="shared" si="2"/>
        <v>1.6129032258064516E-3</v>
      </c>
      <c r="BB48" s="71">
        <f t="shared" si="3"/>
        <v>0.34250000000000003</v>
      </c>
      <c r="BC48" s="69">
        <f t="shared" si="4"/>
        <v>3.3870967741935485</v>
      </c>
    </row>
    <row r="49" spans="1:55" x14ac:dyDescent="0.35">
      <c r="A49" s="1">
        <v>41745</v>
      </c>
      <c r="B49">
        <v>30000</v>
      </c>
      <c r="C49" s="2">
        <v>1250</v>
      </c>
      <c r="D49">
        <v>220</v>
      </c>
      <c r="E49">
        <v>65</v>
      </c>
      <c r="F49" s="2">
        <v>19.23076923076923</v>
      </c>
      <c r="G49" s="2">
        <v>5.6818181818181817</v>
      </c>
      <c r="H49" s="3">
        <v>7.3333333333333332E-3</v>
      </c>
      <c r="J49" s="2">
        <f t="shared" si="5"/>
        <v>41.666666666666664</v>
      </c>
      <c r="K49">
        <v>470000</v>
      </c>
      <c r="L49" s="2">
        <v>825</v>
      </c>
      <c r="M49">
        <v>500</v>
      </c>
      <c r="N49">
        <v>25</v>
      </c>
      <c r="O49" s="2">
        <v>33</v>
      </c>
      <c r="P49" s="2">
        <v>1.65</v>
      </c>
      <c r="Q49" s="3">
        <v>1.0638297872340426E-3</v>
      </c>
      <c r="S49" s="2">
        <f t="shared" si="6"/>
        <v>1.7553191489361701</v>
      </c>
      <c r="T49">
        <v>120000</v>
      </c>
      <c r="U49" s="2">
        <v>1200</v>
      </c>
      <c r="V49">
        <v>80</v>
      </c>
      <c r="W49">
        <v>5</v>
      </c>
      <c r="X49" s="2">
        <f t="shared" si="7"/>
        <v>240</v>
      </c>
      <c r="Y49" s="2">
        <f t="shared" si="8"/>
        <v>15</v>
      </c>
      <c r="Z49" s="3"/>
      <c r="AB49" s="2">
        <f t="shared" si="9"/>
        <v>10</v>
      </c>
      <c r="AC49">
        <v>170000</v>
      </c>
      <c r="AD49" s="2">
        <v>75</v>
      </c>
      <c r="AE49">
        <v>410</v>
      </c>
      <c r="AF49">
        <v>10</v>
      </c>
      <c r="AG49" s="2">
        <v>7.5</v>
      </c>
      <c r="AH49" s="2">
        <v>0.18292682926829268</v>
      </c>
      <c r="AI49" s="3">
        <v>2.4117647058823528E-3</v>
      </c>
      <c r="AK49" s="2">
        <f t="shared" si="10"/>
        <v>0.44117647058823528</v>
      </c>
      <c r="AL49">
        <v>380000</v>
      </c>
      <c r="AM49" s="2">
        <v>625</v>
      </c>
      <c r="AN49">
        <v>470</v>
      </c>
      <c r="AO49">
        <v>85</v>
      </c>
      <c r="AP49" s="2">
        <v>7.3529411764705879</v>
      </c>
      <c r="AQ49" s="2">
        <v>1.3297872340425532</v>
      </c>
      <c r="AR49" s="3">
        <v>1.2368421052631579E-3</v>
      </c>
      <c r="AT49" s="2">
        <f t="shared" si="12"/>
        <v>1.6447368421052631</v>
      </c>
      <c r="AU49" s="68">
        <f>SUM(B49+K49+T49+AC49+AL49)</f>
        <v>1170000</v>
      </c>
      <c r="AV49" s="69">
        <f>SUM(C49+L49+U49+AD49+AM49)</f>
        <v>3975</v>
      </c>
      <c r="AW49" s="70">
        <f>SUM(D49+M49+V49+AE49+AN49)</f>
        <v>1680</v>
      </c>
      <c r="AX49" s="70">
        <f>SUM(E49+N49+W49+AF49+AO49)</f>
        <v>190</v>
      </c>
      <c r="AY49" s="69">
        <f t="shared" si="0"/>
        <v>20.921052631578949</v>
      </c>
      <c r="AZ49" s="69">
        <f t="shared" si="1"/>
        <v>2.3660714285714284</v>
      </c>
      <c r="BA49" s="71">
        <f t="shared" si="2"/>
        <v>1.435897435897436E-3</v>
      </c>
      <c r="BB49" s="71">
        <f t="shared" si="3"/>
        <v>0.1130952380952381</v>
      </c>
      <c r="BC49" s="69">
        <f t="shared" si="4"/>
        <v>3.3974358974358974</v>
      </c>
    </row>
    <row r="50" spans="1:55" x14ac:dyDescent="0.35">
      <c r="A50" s="1">
        <v>41746</v>
      </c>
      <c r="B50">
        <v>70000</v>
      </c>
      <c r="C50" s="2">
        <v>900</v>
      </c>
      <c r="D50">
        <v>420</v>
      </c>
      <c r="E50">
        <v>45</v>
      </c>
      <c r="F50" s="2">
        <v>20</v>
      </c>
      <c r="G50" s="2">
        <v>2.1428571428571428</v>
      </c>
      <c r="H50" s="3">
        <v>6.0000000000000001E-3</v>
      </c>
      <c r="J50" s="2">
        <f t="shared" si="5"/>
        <v>12.857142857142858</v>
      </c>
      <c r="K50">
        <v>410000</v>
      </c>
      <c r="L50" s="2">
        <v>175</v>
      </c>
      <c r="M50">
        <v>350</v>
      </c>
      <c r="N50">
        <v>135</v>
      </c>
      <c r="O50" s="2">
        <v>1.2962962962962963</v>
      </c>
      <c r="P50" s="2">
        <v>0.5</v>
      </c>
      <c r="Q50" s="3">
        <v>8.5365853658536585E-4</v>
      </c>
      <c r="S50" s="2">
        <f t="shared" si="6"/>
        <v>0.42682926829268292</v>
      </c>
      <c r="T50">
        <v>260000</v>
      </c>
      <c r="U50" s="2">
        <v>175</v>
      </c>
      <c r="V50">
        <v>600</v>
      </c>
      <c r="W50">
        <v>215</v>
      </c>
      <c r="X50" s="2">
        <f t="shared" si="7"/>
        <v>0.81395348837209303</v>
      </c>
      <c r="Y50" s="2">
        <f t="shared" si="8"/>
        <v>0.29166666666666669</v>
      </c>
      <c r="Z50" s="3"/>
      <c r="AB50" s="2">
        <f t="shared" si="9"/>
        <v>0.67307692307692313</v>
      </c>
      <c r="AC50">
        <v>160000</v>
      </c>
      <c r="AD50" s="2">
        <v>250</v>
      </c>
      <c r="AE50">
        <v>570</v>
      </c>
      <c r="AF50">
        <v>75</v>
      </c>
      <c r="AG50" s="2">
        <v>3.3333333333333335</v>
      </c>
      <c r="AH50" s="2">
        <v>0.43859649122807015</v>
      </c>
      <c r="AI50" s="3">
        <v>3.5625000000000001E-3</v>
      </c>
      <c r="AK50" s="2">
        <f t="shared" si="10"/>
        <v>1.5625</v>
      </c>
      <c r="AL50">
        <v>280000</v>
      </c>
      <c r="AM50" s="2">
        <v>325</v>
      </c>
      <c r="AN50">
        <v>60</v>
      </c>
      <c r="AO50">
        <v>235</v>
      </c>
      <c r="AP50" s="2">
        <v>1.3829787234042554</v>
      </c>
      <c r="AQ50" s="2">
        <v>5.416666666666667</v>
      </c>
      <c r="AR50" s="3">
        <v>2.1428571428571427E-4</v>
      </c>
      <c r="AT50" s="2">
        <f t="shared" si="12"/>
        <v>1.1607142857142858</v>
      </c>
      <c r="AU50" s="68">
        <f>SUM(B50+K50+T50+AC50+AL50)</f>
        <v>1180000</v>
      </c>
      <c r="AV50" s="69">
        <f>SUM(C50+L50+U50+AD50+AM50)</f>
        <v>1825</v>
      </c>
      <c r="AW50" s="70">
        <f>SUM(D50+M50+V50+AE50+AN50)</f>
        <v>2000</v>
      </c>
      <c r="AX50" s="70">
        <f>SUM(E50+N50+W50+AF50+AO50)</f>
        <v>705</v>
      </c>
      <c r="AY50" s="69">
        <f t="shared" si="0"/>
        <v>2.5886524822695036</v>
      </c>
      <c r="AZ50" s="69">
        <f t="shared" si="1"/>
        <v>0.91249999999999998</v>
      </c>
      <c r="BA50" s="71">
        <f t="shared" si="2"/>
        <v>1.6949152542372881E-3</v>
      </c>
      <c r="BB50" s="71">
        <f t="shared" si="3"/>
        <v>0.35249999999999998</v>
      </c>
      <c r="BC50" s="69">
        <f t="shared" si="4"/>
        <v>1.5466101694915255</v>
      </c>
    </row>
    <row r="51" spans="1:55" x14ac:dyDescent="0.35">
      <c r="A51" s="1">
        <v>41747</v>
      </c>
      <c r="B51">
        <v>70000</v>
      </c>
      <c r="C51" s="2">
        <v>250</v>
      </c>
      <c r="D51">
        <v>210</v>
      </c>
      <c r="E51">
        <v>60</v>
      </c>
      <c r="F51" s="2">
        <v>4.166666666666667</v>
      </c>
      <c r="G51" s="2">
        <v>1.1904761904761905</v>
      </c>
      <c r="H51" s="3">
        <v>3.0000000000000001E-3</v>
      </c>
      <c r="J51" s="2">
        <f t="shared" si="5"/>
        <v>3.5714285714285716</v>
      </c>
      <c r="K51">
        <v>190000</v>
      </c>
      <c r="L51" s="2">
        <v>1175</v>
      </c>
      <c r="M51">
        <v>380</v>
      </c>
      <c r="N51">
        <v>130</v>
      </c>
      <c r="O51" s="2">
        <v>9.0384615384615383</v>
      </c>
      <c r="P51" s="2">
        <v>3.0921052631578947</v>
      </c>
      <c r="Q51" s="3">
        <v>2E-3</v>
      </c>
      <c r="S51" s="2">
        <f t="shared" si="6"/>
        <v>6.1842105263157894</v>
      </c>
      <c r="T51">
        <v>250000</v>
      </c>
      <c r="U51" s="2">
        <v>275</v>
      </c>
      <c r="V51">
        <v>530</v>
      </c>
      <c r="W51">
        <v>140</v>
      </c>
      <c r="X51" s="2">
        <f t="shared" si="7"/>
        <v>1.9642857142857142</v>
      </c>
      <c r="Y51" s="2">
        <f t="shared" si="8"/>
        <v>0.51886792452830188</v>
      </c>
      <c r="Z51" s="3"/>
      <c r="AB51" s="2">
        <f t="shared" si="9"/>
        <v>1.1000000000000001</v>
      </c>
      <c r="AC51">
        <v>270000</v>
      </c>
      <c r="AD51" s="2">
        <v>1200</v>
      </c>
      <c r="AE51">
        <v>160</v>
      </c>
      <c r="AF51">
        <v>230</v>
      </c>
      <c r="AG51" s="2">
        <v>5.2173913043478262</v>
      </c>
      <c r="AH51" s="2">
        <v>7.5</v>
      </c>
      <c r="AI51" s="3">
        <v>5.9259259259259258E-4</v>
      </c>
      <c r="AK51" s="2">
        <f t="shared" si="10"/>
        <v>4.4444444444444446</v>
      </c>
      <c r="AL51">
        <v>460000</v>
      </c>
      <c r="AM51" s="2">
        <v>900</v>
      </c>
      <c r="AN51">
        <v>390</v>
      </c>
      <c r="AO51">
        <v>130</v>
      </c>
      <c r="AP51" s="2">
        <v>6.9230769230769234</v>
      </c>
      <c r="AQ51" s="2">
        <v>2.3076923076923075</v>
      </c>
      <c r="AR51" s="3">
        <v>8.4782608695652172E-4</v>
      </c>
      <c r="AT51" s="2">
        <f t="shared" si="12"/>
        <v>1.9565217391304348</v>
      </c>
      <c r="AU51" s="68">
        <f>SUM(B51+K51+T51+AC51+AL51)</f>
        <v>1240000</v>
      </c>
      <c r="AV51" s="69">
        <f>SUM(C51+L51+U51+AD51+AM51)</f>
        <v>3800</v>
      </c>
      <c r="AW51" s="70">
        <f>SUM(D51+M51+V51+AE51+AN51)</f>
        <v>1670</v>
      </c>
      <c r="AX51" s="70">
        <f>SUM(E51+N51+W51+AF51+AO51)</f>
        <v>690</v>
      </c>
      <c r="AY51" s="69">
        <f t="shared" si="0"/>
        <v>5.5072463768115938</v>
      </c>
      <c r="AZ51" s="69">
        <f t="shared" si="1"/>
        <v>2.2754491017964074</v>
      </c>
      <c r="BA51" s="71">
        <f t="shared" si="2"/>
        <v>1.3467741935483872E-3</v>
      </c>
      <c r="BB51" s="71">
        <f t="shared" si="3"/>
        <v>0.41317365269461076</v>
      </c>
      <c r="BC51" s="69">
        <f t="shared" si="4"/>
        <v>3.064516129032258</v>
      </c>
    </row>
    <row r="52" spans="1:55" x14ac:dyDescent="0.35">
      <c r="A52" s="1">
        <v>41748</v>
      </c>
      <c r="B52">
        <v>320000</v>
      </c>
      <c r="C52" s="2">
        <v>800</v>
      </c>
      <c r="D52">
        <v>700</v>
      </c>
      <c r="E52">
        <v>5</v>
      </c>
      <c r="F52" s="2">
        <v>160</v>
      </c>
      <c r="G52" s="2">
        <v>1.1428571428571428</v>
      </c>
      <c r="H52" s="3">
        <v>2.1875000000000002E-3</v>
      </c>
      <c r="J52" s="2">
        <f t="shared" si="5"/>
        <v>2.5</v>
      </c>
      <c r="K52">
        <v>330000</v>
      </c>
      <c r="L52" s="2">
        <v>700</v>
      </c>
      <c r="M52">
        <v>460</v>
      </c>
      <c r="N52">
        <v>105</v>
      </c>
      <c r="O52" s="2">
        <v>6.666666666666667</v>
      </c>
      <c r="P52" s="2">
        <v>1.5217391304347827</v>
      </c>
      <c r="Q52" s="3">
        <v>1.393939393939394E-3</v>
      </c>
      <c r="S52" s="2">
        <f t="shared" si="6"/>
        <v>2.1212121212121211</v>
      </c>
      <c r="T52">
        <v>30000</v>
      </c>
      <c r="U52" s="2">
        <v>75</v>
      </c>
      <c r="V52">
        <v>680</v>
      </c>
      <c r="W52">
        <v>180</v>
      </c>
      <c r="X52" s="2">
        <f t="shared" si="7"/>
        <v>0.41666666666666669</v>
      </c>
      <c r="Y52" s="2">
        <f t="shared" si="8"/>
        <v>0.11029411764705882</v>
      </c>
      <c r="Z52" s="3"/>
      <c r="AB52" s="2">
        <f t="shared" si="9"/>
        <v>2.5</v>
      </c>
      <c r="AC52">
        <v>170000</v>
      </c>
      <c r="AD52" s="2">
        <v>300</v>
      </c>
      <c r="AE52">
        <v>300</v>
      </c>
      <c r="AF52">
        <v>65</v>
      </c>
      <c r="AG52" s="2">
        <v>4.615384615384615</v>
      </c>
      <c r="AH52" s="2">
        <v>1</v>
      </c>
      <c r="AI52" s="3">
        <v>1.7647058823529412E-3</v>
      </c>
      <c r="AK52" s="2">
        <f t="shared" si="10"/>
        <v>1.7647058823529411</v>
      </c>
      <c r="AL52">
        <v>470000</v>
      </c>
      <c r="AM52" s="2">
        <v>50</v>
      </c>
      <c r="AN52">
        <v>340</v>
      </c>
      <c r="AO52">
        <v>140</v>
      </c>
      <c r="AP52" s="2">
        <v>0.35714285714285715</v>
      </c>
      <c r="AQ52" s="2">
        <v>0.14705882352941177</v>
      </c>
      <c r="AR52" s="3">
        <v>7.2340425531914894E-4</v>
      </c>
      <c r="AT52" s="2">
        <f t="shared" si="12"/>
        <v>0.10638297872340426</v>
      </c>
      <c r="AU52" s="68">
        <f>SUM(B52+K52+T52+AC52+AL52)</f>
        <v>1320000</v>
      </c>
      <c r="AV52" s="69">
        <f>SUM(C52+L52+U52+AD52+AM52)</f>
        <v>1925</v>
      </c>
      <c r="AW52" s="70">
        <f>SUM(D52+M52+V52+AE52+AN52)</f>
        <v>2480</v>
      </c>
      <c r="AX52" s="70">
        <f>SUM(E52+N52+W52+AF52+AO52)</f>
        <v>495</v>
      </c>
      <c r="AY52" s="69">
        <f t="shared" si="0"/>
        <v>3.8888888888888888</v>
      </c>
      <c r="AZ52" s="69">
        <f t="shared" si="1"/>
        <v>0.77620967741935487</v>
      </c>
      <c r="BA52" s="71">
        <f t="shared" si="2"/>
        <v>1.8787878787878789E-3</v>
      </c>
      <c r="BB52" s="71">
        <f t="shared" si="3"/>
        <v>0.19959677419354838</v>
      </c>
      <c r="BC52" s="69">
        <f t="shared" si="4"/>
        <v>1.4583333333333333</v>
      </c>
    </row>
    <row r="53" spans="1:55" x14ac:dyDescent="0.35">
      <c r="A53" s="1">
        <v>41749</v>
      </c>
      <c r="B53">
        <v>460000</v>
      </c>
      <c r="C53" s="2">
        <v>600</v>
      </c>
      <c r="D53">
        <v>460</v>
      </c>
      <c r="E53">
        <v>190</v>
      </c>
      <c r="F53" s="2">
        <v>3.1578947368421053</v>
      </c>
      <c r="G53" s="2">
        <v>1.3043478260869565</v>
      </c>
      <c r="H53" s="3">
        <v>1E-3</v>
      </c>
      <c r="J53" s="2">
        <f t="shared" si="5"/>
        <v>1.3043478260869565</v>
      </c>
      <c r="K53">
        <v>50000</v>
      </c>
      <c r="L53" s="2">
        <v>1200</v>
      </c>
      <c r="M53">
        <v>300</v>
      </c>
      <c r="N53">
        <v>130</v>
      </c>
      <c r="O53" s="2">
        <v>9.2307692307692299</v>
      </c>
      <c r="P53" s="2">
        <v>4</v>
      </c>
      <c r="Q53" s="3">
        <v>6.0000000000000001E-3</v>
      </c>
      <c r="S53" s="2">
        <f t="shared" si="6"/>
        <v>24</v>
      </c>
      <c r="T53">
        <v>360000</v>
      </c>
      <c r="U53" s="2">
        <v>75</v>
      </c>
      <c r="V53">
        <v>450</v>
      </c>
      <c r="W53">
        <v>165</v>
      </c>
      <c r="X53" s="2">
        <f t="shared" si="7"/>
        <v>0.45454545454545453</v>
      </c>
      <c r="Y53" s="2">
        <f t="shared" si="8"/>
        <v>0.16666666666666666</v>
      </c>
      <c r="Z53" s="3"/>
      <c r="AB53" s="2">
        <f t="shared" si="9"/>
        <v>0.20833333333333334</v>
      </c>
      <c r="AC53">
        <v>30000</v>
      </c>
      <c r="AD53" s="2">
        <v>25</v>
      </c>
      <c r="AE53">
        <v>90</v>
      </c>
      <c r="AF53">
        <v>45</v>
      </c>
      <c r="AG53" s="2">
        <v>0.55555555555555558</v>
      </c>
      <c r="AH53" s="2">
        <v>0.27777777777777779</v>
      </c>
      <c r="AI53" s="3">
        <v>3.0000000000000001E-3</v>
      </c>
      <c r="AK53" s="2">
        <f t="shared" si="10"/>
        <v>0.83333333333333337</v>
      </c>
      <c r="AL53">
        <v>60000</v>
      </c>
      <c r="AM53" s="2">
        <v>50</v>
      </c>
      <c r="AN53">
        <v>680</v>
      </c>
      <c r="AO53">
        <v>70</v>
      </c>
      <c r="AP53" s="2">
        <v>0.7142857142857143</v>
      </c>
      <c r="AQ53" s="2">
        <v>7.3529411764705885E-2</v>
      </c>
      <c r="AR53" s="3">
        <v>1.1333333333333334E-2</v>
      </c>
      <c r="AT53" s="2">
        <f t="shared" si="12"/>
        <v>0.83333333333333337</v>
      </c>
      <c r="AU53" s="68">
        <f>SUM(B53+K53+T53+AC53+AL53)</f>
        <v>960000</v>
      </c>
      <c r="AV53" s="69">
        <f>SUM(C53+L53+U53+AD53+AM53)</f>
        <v>1950</v>
      </c>
      <c r="AW53" s="70">
        <f>SUM(D53+M53+V53+AE53+AN53)</f>
        <v>1980</v>
      </c>
      <c r="AX53" s="70">
        <f>SUM(E53+N53+W53+AF53+AO53)</f>
        <v>600</v>
      </c>
      <c r="AY53" s="69">
        <f t="shared" si="0"/>
        <v>3.25</v>
      </c>
      <c r="AZ53" s="69">
        <f t="shared" si="1"/>
        <v>0.98484848484848486</v>
      </c>
      <c r="BA53" s="71">
        <f t="shared" si="2"/>
        <v>2.0625000000000001E-3</v>
      </c>
      <c r="BB53" s="71">
        <f t="shared" si="3"/>
        <v>0.30303030303030304</v>
      </c>
      <c r="BC53" s="69">
        <f t="shared" si="4"/>
        <v>2.03125</v>
      </c>
    </row>
    <row r="54" spans="1:55" x14ac:dyDescent="0.35">
      <c r="A54" s="1">
        <v>41750</v>
      </c>
      <c r="B54">
        <v>250000</v>
      </c>
      <c r="C54" s="2">
        <v>400</v>
      </c>
      <c r="D54">
        <v>340</v>
      </c>
      <c r="E54">
        <v>10</v>
      </c>
      <c r="F54" s="2">
        <v>40</v>
      </c>
      <c r="G54" s="2">
        <v>1.1764705882352942</v>
      </c>
      <c r="H54" s="3">
        <v>1.3600000000000001E-3</v>
      </c>
      <c r="J54" s="2">
        <f t="shared" si="5"/>
        <v>1.6</v>
      </c>
      <c r="K54">
        <v>300000</v>
      </c>
      <c r="L54" s="2">
        <v>1075</v>
      </c>
      <c r="M54">
        <v>540</v>
      </c>
      <c r="N54">
        <v>120</v>
      </c>
      <c r="O54" s="2">
        <v>8.9583333333333339</v>
      </c>
      <c r="P54" s="2">
        <v>1.9907407407407407</v>
      </c>
      <c r="Q54" s="3">
        <v>1.8E-3</v>
      </c>
      <c r="S54" s="2">
        <f t="shared" si="6"/>
        <v>3.5833333333333335</v>
      </c>
      <c r="T54">
        <v>360000</v>
      </c>
      <c r="U54" s="2">
        <v>950</v>
      </c>
      <c r="V54">
        <v>640</v>
      </c>
      <c r="W54">
        <v>210</v>
      </c>
      <c r="X54" s="2">
        <f t="shared" si="7"/>
        <v>4.5238095238095237</v>
      </c>
      <c r="Y54" s="2">
        <f t="shared" si="8"/>
        <v>1.484375</v>
      </c>
      <c r="Z54" s="3"/>
      <c r="AB54" s="2">
        <f t="shared" si="9"/>
        <v>2.6388888888888888</v>
      </c>
      <c r="AC54">
        <v>340000</v>
      </c>
      <c r="AD54" s="2">
        <v>1075</v>
      </c>
      <c r="AE54">
        <v>140</v>
      </c>
      <c r="AF54">
        <v>45</v>
      </c>
      <c r="AG54" s="2">
        <v>23.888888888888889</v>
      </c>
      <c r="AH54" s="2">
        <v>7.6785714285714288</v>
      </c>
      <c r="AI54" s="3">
        <v>4.1176470588235296E-4</v>
      </c>
      <c r="AK54" s="2">
        <f t="shared" si="10"/>
        <v>3.1617647058823528</v>
      </c>
      <c r="AL54">
        <v>380000</v>
      </c>
      <c r="AM54" s="2">
        <v>75</v>
      </c>
      <c r="AN54">
        <v>60</v>
      </c>
      <c r="AO54">
        <v>125</v>
      </c>
      <c r="AP54" s="2">
        <v>0.6</v>
      </c>
      <c r="AQ54" s="2">
        <v>1.25</v>
      </c>
      <c r="AR54" s="3">
        <v>1.5789473684210527E-4</v>
      </c>
      <c r="AT54" s="2">
        <f t="shared" si="12"/>
        <v>0.19736842105263158</v>
      </c>
      <c r="AU54" s="68">
        <f>SUM(B54+K54+T54+AC54+AL54)</f>
        <v>1630000</v>
      </c>
      <c r="AV54" s="69">
        <f>SUM(C54+L54+U54+AD54+AM54)</f>
        <v>3575</v>
      </c>
      <c r="AW54" s="70">
        <f>SUM(D54+M54+V54+AE54+AN54)</f>
        <v>1720</v>
      </c>
      <c r="AX54" s="70">
        <f>SUM(E54+N54+W54+AF54+AO54)</f>
        <v>510</v>
      </c>
      <c r="AY54" s="69">
        <f t="shared" si="0"/>
        <v>7.0098039215686274</v>
      </c>
      <c r="AZ54" s="69">
        <f t="shared" si="1"/>
        <v>2.0784883720930232</v>
      </c>
      <c r="BA54" s="71">
        <f t="shared" si="2"/>
        <v>1.0552147239263803E-3</v>
      </c>
      <c r="BB54" s="71">
        <f t="shared" si="3"/>
        <v>0.29651162790697677</v>
      </c>
      <c r="BC54" s="69">
        <f t="shared" si="4"/>
        <v>2.1932515337423313</v>
      </c>
    </row>
    <row r="55" spans="1:55" x14ac:dyDescent="0.35">
      <c r="A55" s="1">
        <v>41751</v>
      </c>
      <c r="B55">
        <v>300000</v>
      </c>
      <c r="C55" s="2">
        <v>1000</v>
      </c>
      <c r="D55">
        <v>160</v>
      </c>
      <c r="E55">
        <v>85</v>
      </c>
      <c r="F55" s="2">
        <v>11.764705882352942</v>
      </c>
      <c r="G55" s="2">
        <v>6.25</v>
      </c>
      <c r="H55" s="3">
        <v>5.3333333333333336E-4</v>
      </c>
      <c r="J55" s="2">
        <f t="shared" si="5"/>
        <v>3.3333333333333335</v>
      </c>
      <c r="K55">
        <v>150000</v>
      </c>
      <c r="L55" s="2">
        <v>250</v>
      </c>
      <c r="M55">
        <v>440</v>
      </c>
      <c r="N55">
        <v>175</v>
      </c>
      <c r="O55" s="2">
        <v>1.4285714285714286</v>
      </c>
      <c r="P55" s="2">
        <v>0.56818181818181823</v>
      </c>
      <c r="Q55" s="3">
        <v>2.9333333333333334E-3</v>
      </c>
      <c r="S55" s="2">
        <f t="shared" si="6"/>
        <v>1.6666666666666667</v>
      </c>
      <c r="T55">
        <v>310000</v>
      </c>
      <c r="U55" s="2">
        <v>1100</v>
      </c>
      <c r="V55">
        <v>310</v>
      </c>
      <c r="W55">
        <v>170</v>
      </c>
      <c r="X55" s="2">
        <f t="shared" si="7"/>
        <v>6.4705882352941178</v>
      </c>
      <c r="Y55" s="2">
        <f t="shared" si="8"/>
        <v>3.5483870967741935</v>
      </c>
      <c r="Z55" s="3"/>
      <c r="AB55" s="2">
        <f t="shared" si="9"/>
        <v>3.5483870967741935</v>
      </c>
      <c r="AC55">
        <v>110000</v>
      </c>
      <c r="AD55" s="2">
        <v>25</v>
      </c>
      <c r="AE55">
        <v>120</v>
      </c>
      <c r="AF55">
        <v>185</v>
      </c>
      <c r="AG55" s="2">
        <v>0.13513513513513514</v>
      </c>
      <c r="AH55" s="2">
        <v>0.20833333333333334</v>
      </c>
      <c r="AI55" s="3">
        <v>1.090909090909091E-3</v>
      </c>
      <c r="AK55" s="2">
        <f t="shared" si="10"/>
        <v>0.22727272727272727</v>
      </c>
      <c r="AL55">
        <v>10000</v>
      </c>
      <c r="AM55" s="2">
        <v>25</v>
      </c>
      <c r="AN55">
        <v>410</v>
      </c>
      <c r="AO55">
        <v>85</v>
      </c>
      <c r="AP55" s="2">
        <v>0.29411764705882354</v>
      </c>
      <c r="AQ55" s="2">
        <v>6.097560975609756E-2</v>
      </c>
      <c r="AR55" s="3">
        <v>4.1000000000000002E-2</v>
      </c>
      <c r="AT55" s="2">
        <f t="shared" si="12"/>
        <v>2.5</v>
      </c>
      <c r="AU55" s="68">
        <f>SUM(B55+K55+T55+AC55+AL55)</f>
        <v>880000</v>
      </c>
      <c r="AV55" s="69">
        <f>SUM(C55+L55+U55+AD55+AM55)</f>
        <v>2400</v>
      </c>
      <c r="AW55" s="70">
        <f>SUM(D55+M55+V55+AE55+AN55)</f>
        <v>1440</v>
      </c>
      <c r="AX55" s="70">
        <f>SUM(E55+N55+W55+AF55+AO55)</f>
        <v>700</v>
      </c>
      <c r="AY55" s="69">
        <f t="shared" si="0"/>
        <v>3.4285714285714284</v>
      </c>
      <c r="AZ55" s="69">
        <f t="shared" si="1"/>
        <v>1.6666666666666667</v>
      </c>
      <c r="BA55" s="71">
        <f t="shared" si="2"/>
        <v>1.6363636363636363E-3</v>
      </c>
      <c r="BB55" s="71">
        <f t="shared" si="3"/>
        <v>0.4861111111111111</v>
      </c>
      <c r="BC55" s="69">
        <f t="shared" si="4"/>
        <v>2.7272727272727271</v>
      </c>
    </row>
    <row r="56" spans="1:55" x14ac:dyDescent="0.35">
      <c r="A56" s="1">
        <v>41752</v>
      </c>
      <c r="B56">
        <v>60000</v>
      </c>
      <c r="C56" s="2">
        <v>200</v>
      </c>
      <c r="D56">
        <v>240</v>
      </c>
      <c r="E56">
        <v>205</v>
      </c>
      <c r="F56" s="2">
        <v>0.97560975609756095</v>
      </c>
      <c r="G56" s="2">
        <v>0.83333333333333337</v>
      </c>
      <c r="H56" s="3">
        <v>4.0000000000000001E-3</v>
      </c>
      <c r="J56" s="2">
        <f t="shared" si="5"/>
        <v>3.3333333333333335</v>
      </c>
      <c r="K56">
        <v>330000</v>
      </c>
      <c r="L56" s="2">
        <v>425</v>
      </c>
      <c r="M56">
        <v>380</v>
      </c>
      <c r="N56">
        <v>190</v>
      </c>
      <c r="O56" s="2">
        <v>2.236842105263158</v>
      </c>
      <c r="P56" s="2">
        <v>1.118421052631579</v>
      </c>
      <c r="Q56" s="3">
        <v>1.1515151515151514E-3</v>
      </c>
      <c r="S56" s="2">
        <f t="shared" si="6"/>
        <v>1.2878787878787878</v>
      </c>
      <c r="T56">
        <v>270000</v>
      </c>
      <c r="U56" s="2">
        <v>1050</v>
      </c>
      <c r="V56">
        <v>70</v>
      </c>
      <c r="W56">
        <v>50</v>
      </c>
      <c r="X56" s="2">
        <f t="shared" si="7"/>
        <v>21</v>
      </c>
      <c r="Y56" s="2">
        <f t="shared" si="8"/>
        <v>15</v>
      </c>
      <c r="Z56" s="3"/>
      <c r="AB56" s="2">
        <f t="shared" si="9"/>
        <v>3.8888888888888888</v>
      </c>
      <c r="AC56">
        <v>490000</v>
      </c>
      <c r="AD56" s="2">
        <v>950</v>
      </c>
      <c r="AE56">
        <v>450</v>
      </c>
      <c r="AF56">
        <v>185</v>
      </c>
      <c r="AG56" s="2">
        <v>5.1351351351351351</v>
      </c>
      <c r="AH56" s="2">
        <v>2.1111111111111112</v>
      </c>
      <c r="AI56" s="3">
        <v>9.1836734693877546E-4</v>
      </c>
      <c r="AK56" s="2">
        <f t="shared" si="10"/>
        <v>1.9387755102040816</v>
      </c>
      <c r="AL56">
        <v>140000</v>
      </c>
      <c r="AM56" s="2">
        <v>525</v>
      </c>
      <c r="AN56">
        <v>430</v>
      </c>
      <c r="AO56">
        <v>170</v>
      </c>
      <c r="AP56" s="2">
        <v>3.0882352941176472</v>
      </c>
      <c r="AQ56" s="2">
        <v>1.2209302325581395</v>
      </c>
      <c r="AR56" s="3">
        <v>3.0714285714285713E-3</v>
      </c>
      <c r="AT56" s="2">
        <f t="shared" si="12"/>
        <v>3.75</v>
      </c>
      <c r="AU56" s="68">
        <f>SUM(B56+K56+T56+AC56+AL56)</f>
        <v>1290000</v>
      </c>
      <c r="AV56" s="69">
        <f>SUM(C56+L56+U56+AD56+AM56)</f>
        <v>3150</v>
      </c>
      <c r="AW56" s="70">
        <f>SUM(D56+M56+V56+AE56+AN56)</f>
        <v>1570</v>
      </c>
      <c r="AX56" s="70">
        <f>SUM(E56+N56+W56+AF56+AO56)</f>
        <v>800</v>
      </c>
      <c r="AY56" s="69">
        <f t="shared" si="0"/>
        <v>3.9375</v>
      </c>
      <c r="AZ56" s="69">
        <f t="shared" si="1"/>
        <v>2.0063694267515926</v>
      </c>
      <c r="BA56" s="71">
        <f t="shared" si="2"/>
        <v>1.2170542635658915E-3</v>
      </c>
      <c r="BB56" s="71">
        <f t="shared" si="3"/>
        <v>0.50955414012738853</v>
      </c>
      <c r="BC56" s="69">
        <f t="shared" si="4"/>
        <v>2.441860465116279</v>
      </c>
    </row>
    <row r="57" spans="1:55" x14ac:dyDescent="0.35">
      <c r="A57" s="1">
        <v>41753</v>
      </c>
      <c r="B57">
        <v>480000</v>
      </c>
      <c r="C57" s="2">
        <v>1075</v>
      </c>
      <c r="D57">
        <v>280</v>
      </c>
      <c r="E57">
        <v>65</v>
      </c>
      <c r="F57" s="2">
        <v>16.53846153846154</v>
      </c>
      <c r="G57" s="2">
        <v>3.8392857142857144</v>
      </c>
      <c r="H57" s="3">
        <v>5.8333333333333338E-4</v>
      </c>
      <c r="J57" s="2">
        <f t="shared" si="5"/>
        <v>2.2395833333333335</v>
      </c>
      <c r="K57">
        <v>10000</v>
      </c>
      <c r="L57" s="2">
        <v>975</v>
      </c>
      <c r="M57">
        <v>170</v>
      </c>
      <c r="N57">
        <v>175</v>
      </c>
      <c r="O57" s="2">
        <v>5.5714285714285712</v>
      </c>
      <c r="P57" s="2">
        <v>5.7352941176470589</v>
      </c>
      <c r="Q57" s="3">
        <v>1.7000000000000001E-2</v>
      </c>
      <c r="S57" s="2">
        <f t="shared" si="6"/>
        <v>97.5</v>
      </c>
      <c r="T57">
        <v>250000</v>
      </c>
      <c r="U57" s="2">
        <v>925</v>
      </c>
      <c r="V57">
        <v>100</v>
      </c>
      <c r="W57">
        <v>95</v>
      </c>
      <c r="X57" s="2">
        <f t="shared" si="7"/>
        <v>9.7368421052631575</v>
      </c>
      <c r="Y57" s="2">
        <f t="shared" si="8"/>
        <v>9.25</v>
      </c>
      <c r="Z57" s="3"/>
      <c r="AB57" s="2">
        <f t="shared" si="9"/>
        <v>3.7</v>
      </c>
      <c r="AC57">
        <v>400000</v>
      </c>
      <c r="AD57" s="2">
        <v>950</v>
      </c>
      <c r="AE57">
        <v>100</v>
      </c>
      <c r="AF57">
        <v>60</v>
      </c>
      <c r="AG57" s="2">
        <v>15.833333333333334</v>
      </c>
      <c r="AH57" s="2">
        <v>9.5</v>
      </c>
      <c r="AI57" s="3">
        <v>2.5000000000000001E-4</v>
      </c>
      <c r="AK57" s="2">
        <f t="shared" si="10"/>
        <v>2.375</v>
      </c>
      <c r="AL57">
        <v>40000</v>
      </c>
      <c r="AM57" s="2">
        <v>950</v>
      </c>
      <c r="AN57">
        <v>690</v>
      </c>
      <c r="AO57">
        <v>85</v>
      </c>
      <c r="AP57" s="2">
        <v>11.176470588235293</v>
      </c>
      <c r="AQ57" s="2">
        <v>1.3768115942028984</v>
      </c>
      <c r="AR57" s="3">
        <v>1.7250000000000001E-2</v>
      </c>
      <c r="AT57" s="2">
        <f t="shared" si="12"/>
        <v>23.75</v>
      </c>
      <c r="AU57" s="68">
        <f>SUM(B57+K57+T57+AC57+AL57)</f>
        <v>1180000</v>
      </c>
      <c r="AV57" s="69">
        <f>SUM(C57+L57+U57+AD57+AM57)</f>
        <v>4875</v>
      </c>
      <c r="AW57" s="70">
        <f>SUM(D57+M57+V57+AE57+AN57)</f>
        <v>1340</v>
      </c>
      <c r="AX57" s="70">
        <f>SUM(E57+N57+W57+AF57+AO57)</f>
        <v>480</v>
      </c>
      <c r="AY57" s="69">
        <f t="shared" si="0"/>
        <v>10.15625</v>
      </c>
      <c r="AZ57" s="69">
        <f t="shared" si="1"/>
        <v>3.6380597014925371</v>
      </c>
      <c r="BA57" s="71">
        <f t="shared" si="2"/>
        <v>1.135593220338983E-3</v>
      </c>
      <c r="BB57" s="71">
        <f t="shared" si="3"/>
        <v>0.35820895522388058</v>
      </c>
      <c r="BC57" s="69">
        <f t="shared" si="4"/>
        <v>4.1313559322033901</v>
      </c>
    </row>
    <row r="58" spans="1:55" x14ac:dyDescent="0.35">
      <c r="A58" s="1">
        <v>41754</v>
      </c>
      <c r="B58">
        <v>430000</v>
      </c>
      <c r="C58" s="2">
        <v>675</v>
      </c>
      <c r="D58">
        <v>110</v>
      </c>
      <c r="E58">
        <v>60</v>
      </c>
      <c r="F58" s="2">
        <v>11.25</v>
      </c>
      <c r="G58" s="2">
        <v>6.1363636363636367</v>
      </c>
      <c r="H58" s="3">
        <v>2.558139534883721E-4</v>
      </c>
      <c r="J58" s="2">
        <f t="shared" si="5"/>
        <v>1.569767441860465</v>
      </c>
      <c r="K58">
        <v>370000</v>
      </c>
      <c r="L58" s="2">
        <v>850</v>
      </c>
      <c r="M58">
        <v>750</v>
      </c>
      <c r="N58">
        <v>115</v>
      </c>
      <c r="O58" s="2">
        <v>7.3913043478260869</v>
      </c>
      <c r="P58" s="2">
        <v>1.1333333333333333</v>
      </c>
      <c r="Q58" s="3">
        <v>2.0270270270270271E-3</v>
      </c>
      <c r="S58" s="2">
        <f t="shared" si="6"/>
        <v>2.2972972972972974</v>
      </c>
      <c r="T58">
        <v>340000</v>
      </c>
      <c r="U58" s="2">
        <v>575</v>
      </c>
      <c r="V58">
        <v>700</v>
      </c>
      <c r="W58">
        <v>60</v>
      </c>
      <c r="X58" s="2">
        <f t="shared" si="7"/>
        <v>9.5833333333333339</v>
      </c>
      <c r="Y58" s="2">
        <f t="shared" si="8"/>
        <v>0.8214285714285714</v>
      </c>
      <c r="Z58" s="3"/>
      <c r="AB58" s="2">
        <f t="shared" si="9"/>
        <v>1.6911764705882353</v>
      </c>
      <c r="AC58">
        <v>430000</v>
      </c>
      <c r="AD58" s="2">
        <v>250</v>
      </c>
      <c r="AE58">
        <v>550</v>
      </c>
      <c r="AF58">
        <v>30</v>
      </c>
      <c r="AG58" s="2">
        <v>8.3333333333333339</v>
      </c>
      <c r="AH58" s="2">
        <v>0.45454545454545453</v>
      </c>
      <c r="AI58" s="3">
        <v>1.2790697674418604E-3</v>
      </c>
      <c r="AK58" s="2">
        <f t="shared" si="10"/>
        <v>0.58139534883720934</v>
      </c>
      <c r="AL58">
        <v>350000</v>
      </c>
      <c r="AM58" s="2">
        <v>1250</v>
      </c>
      <c r="AN58">
        <v>590</v>
      </c>
      <c r="AO58">
        <v>180</v>
      </c>
      <c r="AP58" s="2">
        <v>6.9444444444444446</v>
      </c>
      <c r="AQ58" s="2">
        <v>2.1186440677966103</v>
      </c>
      <c r="AR58" s="3">
        <v>1.6857142857142856E-3</v>
      </c>
      <c r="AT58" s="2">
        <f t="shared" si="12"/>
        <v>3.5714285714285716</v>
      </c>
      <c r="AU58" s="68">
        <f>SUM(B58+K58+T58+AC58+AL58)</f>
        <v>1920000</v>
      </c>
      <c r="AV58" s="69">
        <f>SUM(C58+L58+U58+AD58+AM58)</f>
        <v>3600</v>
      </c>
      <c r="AW58" s="70">
        <f>SUM(D58+M58+V58+AE58+AN58)</f>
        <v>2700</v>
      </c>
      <c r="AX58" s="70">
        <f>SUM(E58+N58+W58+AF58+AO58)</f>
        <v>445</v>
      </c>
      <c r="AY58" s="69">
        <f t="shared" si="0"/>
        <v>8.0898876404494384</v>
      </c>
      <c r="AZ58" s="69">
        <f t="shared" si="1"/>
        <v>1.3333333333333333</v>
      </c>
      <c r="BA58" s="71">
        <f t="shared" si="2"/>
        <v>1.4062499999999999E-3</v>
      </c>
      <c r="BB58" s="71">
        <f t="shared" si="3"/>
        <v>0.1648148148148148</v>
      </c>
      <c r="BC58" s="69">
        <f t="shared" si="4"/>
        <v>1.875</v>
      </c>
    </row>
    <row r="59" spans="1:55" x14ac:dyDescent="0.35">
      <c r="A59" s="1">
        <v>41755</v>
      </c>
      <c r="B59">
        <v>150000</v>
      </c>
      <c r="C59" s="2">
        <v>1075</v>
      </c>
      <c r="D59">
        <v>140</v>
      </c>
      <c r="E59">
        <v>215</v>
      </c>
      <c r="F59" s="2">
        <v>5</v>
      </c>
      <c r="G59" s="2">
        <v>7.6785714285714288</v>
      </c>
      <c r="H59" s="3">
        <v>9.3333333333333332E-4</v>
      </c>
      <c r="J59" s="2">
        <f t="shared" si="5"/>
        <v>7.166666666666667</v>
      </c>
      <c r="K59">
        <v>200000</v>
      </c>
      <c r="L59" s="2">
        <v>500</v>
      </c>
      <c r="M59">
        <v>250</v>
      </c>
      <c r="N59">
        <v>220</v>
      </c>
      <c r="O59" s="2">
        <v>2.2727272727272729</v>
      </c>
      <c r="P59" s="2">
        <v>2</v>
      </c>
      <c r="Q59" s="3">
        <v>1.25E-3</v>
      </c>
      <c r="S59" s="2">
        <f t="shared" si="6"/>
        <v>2.5</v>
      </c>
      <c r="T59">
        <v>310000</v>
      </c>
      <c r="U59" s="2">
        <v>900</v>
      </c>
      <c r="V59">
        <v>130</v>
      </c>
      <c r="W59">
        <v>90</v>
      </c>
      <c r="X59" s="2">
        <f t="shared" si="7"/>
        <v>10</v>
      </c>
      <c r="Y59" s="2">
        <f t="shared" si="8"/>
        <v>6.9230769230769234</v>
      </c>
      <c r="Z59" s="3"/>
      <c r="AB59" s="2">
        <f t="shared" si="9"/>
        <v>2.903225806451613</v>
      </c>
      <c r="AC59">
        <v>350000</v>
      </c>
      <c r="AD59" s="2">
        <v>925</v>
      </c>
      <c r="AE59">
        <v>400</v>
      </c>
      <c r="AF59">
        <v>15</v>
      </c>
      <c r="AG59" s="2">
        <v>61.666666666666664</v>
      </c>
      <c r="AH59" s="2">
        <v>2.3125</v>
      </c>
      <c r="AI59" s="3">
        <v>1.1428571428571429E-3</v>
      </c>
      <c r="AK59" s="2">
        <f t="shared" si="10"/>
        <v>2.6428571428571428</v>
      </c>
      <c r="AL59">
        <v>310000</v>
      </c>
      <c r="AM59" s="2">
        <v>250</v>
      </c>
      <c r="AN59">
        <v>110</v>
      </c>
      <c r="AO59">
        <v>135</v>
      </c>
      <c r="AP59" s="2">
        <v>1.8518518518518519</v>
      </c>
      <c r="AQ59" s="2">
        <v>2.2727272727272729</v>
      </c>
      <c r="AR59" s="3">
        <v>3.5483870967741938E-4</v>
      </c>
      <c r="AT59" s="2">
        <f t="shared" si="12"/>
        <v>0.80645161290322576</v>
      </c>
      <c r="AU59" s="68">
        <f>SUM(B59+K59+T59+AC59+AL59)</f>
        <v>1320000</v>
      </c>
      <c r="AV59" s="69">
        <f>SUM(C59+L59+U59+AD59+AM59)</f>
        <v>3650</v>
      </c>
      <c r="AW59" s="70">
        <f>SUM(D59+M59+V59+AE59+AN59)</f>
        <v>1030</v>
      </c>
      <c r="AX59" s="70">
        <f>SUM(E59+N59+W59+AF59+AO59)</f>
        <v>675</v>
      </c>
      <c r="AY59" s="69">
        <f t="shared" si="0"/>
        <v>5.4074074074074074</v>
      </c>
      <c r="AZ59" s="69">
        <f t="shared" si="1"/>
        <v>3.5436893203883497</v>
      </c>
      <c r="BA59" s="71">
        <f t="shared" si="2"/>
        <v>7.8030303030303025E-4</v>
      </c>
      <c r="BB59" s="71">
        <f t="shared" si="3"/>
        <v>0.65533980582524276</v>
      </c>
      <c r="BC59" s="69">
        <f t="shared" si="4"/>
        <v>2.7651515151515151</v>
      </c>
    </row>
    <row r="60" spans="1:55" x14ac:dyDescent="0.35">
      <c r="A60" s="1">
        <v>41756</v>
      </c>
      <c r="B60">
        <v>120000</v>
      </c>
      <c r="C60" s="2">
        <v>1225</v>
      </c>
      <c r="D60">
        <v>610</v>
      </c>
      <c r="E60">
        <v>125</v>
      </c>
      <c r="F60" s="2">
        <v>9.8000000000000007</v>
      </c>
      <c r="G60" s="2">
        <v>2.0081967213114753</v>
      </c>
      <c r="H60" s="3">
        <v>5.0833333333333329E-3</v>
      </c>
      <c r="J60" s="2">
        <f t="shared" si="5"/>
        <v>10.208333333333334</v>
      </c>
      <c r="K60">
        <v>60000</v>
      </c>
      <c r="L60" s="2">
        <v>650</v>
      </c>
      <c r="M60">
        <v>720</v>
      </c>
      <c r="N60">
        <v>165</v>
      </c>
      <c r="O60" s="2">
        <v>3.9393939393939394</v>
      </c>
      <c r="P60" s="2">
        <v>0.90277777777777779</v>
      </c>
      <c r="Q60" s="3">
        <v>1.2E-2</v>
      </c>
      <c r="S60" s="2">
        <f t="shared" si="6"/>
        <v>10.833333333333334</v>
      </c>
      <c r="T60">
        <v>220000</v>
      </c>
      <c r="U60" s="2">
        <v>1050</v>
      </c>
      <c r="V60">
        <v>400</v>
      </c>
      <c r="W60">
        <v>130</v>
      </c>
      <c r="X60" s="2">
        <f t="shared" si="7"/>
        <v>8.0769230769230766</v>
      </c>
      <c r="Y60" s="2">
        <f t="shared" si="8"/>
        <v>2.625</v>
      </c>
      <c r="Z60" s="3"/>
      <c r="AB60" s="2">
        <f t="shared" si="9"/>
        <v>4.7727272727272725</v>
      </c>
      <c r="AC60">
        <v>320000</v>
      </c>
      <c r="AD60" s="2">
        <v>1075</v>
      </c>
      <c r="AE60">
        <v>100</v>
      </c>
      <c r="AF60">
        <v>45</v>
      </c>
      <c r="AG60" s="2">
        <v>23.888888888888889</v>
      </c>
      <c r="AH60" s="2">
        <v>10.75</v>
      </c>
      <c r="AI60" s="3">
        <v>3.1250000000000001E-4</v>
      </c>
      <c r="AK60" s="2">
        <f t="shared" si="10"/>
        <v>3.359375</v>
      </c>
      <c r="AL60">
        <v>430000</v>
      </c>
      <c r="AM60" s="2">
        <v>1050</v>
      </c>
      <c r="AN60">
        <v>110</v>
      </c>
      <c r="AO60">
        <v>135</v>
      </c>
      <c r="AP60" s="2">
        <v>7.7777777777777777</v>
      </c>
      <c r="AQ60" s="2">
        <v>9.545454545454545</v>
      </c>
      <c r="AR60" s="3">
        <v>2.558139534883721E-4</v>
      </c>
      <c r="AT60" s="2">
        <f t="shared" si="12"/>
        <v>2.441860465116279</v>
      </c>
      <c r="AU60" s="68">
        <f>SUM(B60+K60+T60+AC60+AL60)</f>
        <v>1150000</v>
      </c>
      <c r="AV60" s="69">
        <f>SUM(C60+L60+U60+AD60+AM60)</f>
        <v>5050</v>
      </c>
      <c r="AW60" s="70">
        <f>SUM(D60+M60+V60+AE60+AN60)</f>
        <v>1940</v>
      </c>
      <c r="AX60" s="70">
        <f>SUM(E60+N60+W60+AF60+AO60)</f>
        <v>600</v>
      </c>
      <c r="AY60" s="69">
        <f t="shared" si="0"/>
        <v>8.4166666666666661</v>
      </c>
      <c r="AZ60" s="69">
        <f t="shared" si="1"/>
        <v>2.6030927835051547</v>
      </c>
      <c r="BA60" s="71">
        <f t="shared" si="2"/>
        <v>1.6869565217391305E-3</v>
      </c>
      <c r="BB60" s="71">
        <f t="shared" si="3"/>
        <v>0.30927835051546393</v>
      </c>
      <c r="BC60" s="69">
        <f t="shared" si="4"/>
        <v>4.3913043478260869</v>
      </c>
    </row>
    <row r="61" spans="1:55" x14ac:dyDescent="0.35">
      <c r="A61" s="1">
        <v>41757</v>
      </c>
      <c r="B61">
        <v>50000</v>
      </c>
      <c r="C61" s="2">
        <v>1000</v>
      </c>
      <c r="D61">
        <v>250</v>
      </c>
      <c r="E61">
        <v>215</v>
      </c>
      <c r="F61" s="2">
        <v>4.6511627906976747</v>
      </c>
      <c r="G61" s="2">
        <v>4</v>
      </c>
      <c r="H61" s="3">
        <v>5.0000000000000001E-3</v>
      </c>
      <c r="J61" s="2">
        <f t="shared" si="5"/>
        <v>20</v>
      </c>
      <c r="K61">
        <v>100000</v>
      </c>
      <c r="L61" s="2">
        <v>250</v>
      </c>
      <c r="M61">
        <v>170</v>
      </c>
      <c r="N61">
        <v>175</v>
      </c>
      <c r="O61" s="2">
        <v>1.4285714285714286</v>
      </c>
      <c r="P61" s="2">
        <v>1.4705882352941178</v>
      </c>
      <c r="Q61" s="3">
        <v>1.6999999999999999E-3</v>
      </c>
      <c r="S61" s="2">
        <f t="shared" si="6"/>
        <v>2.5</v>
      </c>
      <c r="T61">
        <v>450000</v>
      </c>
      <c r="U61" s="2">
        <v>400</v>
      </c>
      <c r="V61">
        <v>290</v>
      </c>
      <c r="W61">
        <v>55</v>
      </c>
      <c r="X61" s="2">
        <f t="shared" si="7"/>
        <v>7.2727272727272725</v>
      </c>
      <c r="Y61" s="2">
        <f t="shared" si="8"/>
        <v>1.3793103448275863</v>
      </c>
      <c r="Z61" s="3"/>
      <c r="AB61" s="2">
        <f t="shared" si="9"/>
        <v>0.88888888888888884</v>
      </c>
      <c r="AC61">
        <v>380000</v>
      </c>
      <c r="AD61" s="2">
        <v>625</v>
      </c>
      <c r="AE61">
        <v>540</v>
      </c>
      <c r="AF61">
        <v>190</v>
      </c>
      <c r="AG61" s="2">
        <v>3.2894736842105261</v>
      </c>
      <c r="AH61" s="2">
        <v>1.1574074074074074</v>
      </c>
      <c r="AI61" s="3">
        <v>1.4210526315789475E-3</v>
      </c>
      <c r="AK61" s="2">
        <f t="shared" si="10"/>
        <v>1.6447368421052631</v>
      </c>
      <c r="AL61">
        <v>350000</v>
      </c>
      <c r="AM61" s="2">
        <v>500</v>
      </c>
      <c r="AN61">
        <v>420</v>
      </c>
      <c r="AO61">
        <v>160</v>
      </c>
      <c r="AP61" s="2">
        <v>3.125</v>
      </c>
      <c r="AQ61" s="2">
        <v>1.1904761904761905</v>
      </c>
      <c r="AR61" s="3">
        <v>1.1999999999999999E-3</v>
      </c>
      <c r="AT61" s="2">
        <f t="shared" si="12"/>
        <v>1.4285714285714286</v>
      </c>
      <c r="AU61" s="68">
        <f>SUM(B61+K61+T61+AC61+AL61)</f>
        <v>1330000</v>
      </c>
      <c r="AV61" s="69">
        <f>SUM(C61+L61+U61+AD61+AM61)</f>
        <v>2775</v>
      </c>
      <c r="AW61" s="70">
        <f>SUM(D61+M61+V61+AE61+AN61)</f>
        <v>1670</v>
      </c>
      <c r="AX61" s="70">
        <f>SUM(E61+N61+W61+AF61+AO61)</f>
        <v>795</v>
      </c>
      <c r="AY61" s="69">
        <f t="shared" si="0"/>
        <v>3.4905660377358489</v>
      </c>
      <c r="AZ61" s="69">
        <f t="shared" si="1"/>
        <v>1.6616766467065869</v>
      </c>
      <c r="BA61" s="71">
        <f t="shared" si="2"/>
        <v>1.2556390977443608E-3</v>
      </c>
      <c r="BB61" s="71">
        <f t="shared" si="3"/>
        <v>0.47604790419161674</v>
      </c>
      <c r="BC61" s="69">
        <f t="shared" si="4"/>
        <v>2.0864661654135337</v>
      </c>
    </row>
    <row r="62" spans="1:55" x14ac:dyDescent="0.35">
      <c r="A62" s="1">
        <v>41758</v>
      </c>
      <c r="B62">
        <v>320000</v>
      </c>
      <c r="C62" s="2">
        <v>950</v>
      </c>
      <c r="D62">
        <v>60</v>
      </c>
      <c r="E62">
        <v>175</v>
      </c>
      <c r="F62" s="2">
        <v>5.4285714285714288</v>
      </c>
      <c r="G62" s="2">
        <v>15.833333333333334</v>
      </c>
      <c r="H62" s="3">
        <v>1.875E-4</v>
      </c>
      <c r="J62" s="2">
        <f t="shared" si="5"/>
        <v>2.96875</v>
      </c>
      <c r="K62">
        <v>300000</v>
      </c>
      <c r="L62" s="2">
        <v>900</v>
      </c>
      <c r="M62">
        <v>600</v>
      </c>
      <c r="N62">
        <v>110</v>
      </c>
      <c r="O62" s="2">
        <v>8.1818181818181817</v>
      </c>
      <c r="P62" s="2">
        <v>1.5</v>
      </c>
      <c r="Q62" s="3">
        <v>2E-3</v>
      </c>
      <c r="S62" s="2">
        <f t="shared" si="6"/>
        <v>3</v>
      </c>
      <c r="T62">
        <v>170000</v>
      </c>
      <c r="U62" s="2">
        <v>1150</v>
      </c>
      <c r="V62">
        <v>330</v>
      </c>
      <c r="W62">
        <v>20</v>
      </c>
      <c r="X62" s="2">
        <f t="shared" si="7"/>
        <v>57.5</v>
      </c>
      <c r="Y62" s="2">
        <f t="shared" si="8"/>
        <v>3.4848484848484849</v>
      </c>
      <c r="Z62" s="3"/>
      <c r="AB62" s="2">
        <f t="shared" si="9"/>
        <v>6.7647058823529411</v>
      </c>
      <c r="AC62">
        <v>420000</v>
      </c>
      <c r="AD62" s="2">
        <v>675</v>
      </c>
      <c r="AE62">
        <v>190</v>
      </c>
      <c r="AF62">
        <v>30</v>
      </c>
      <c r="AG62" s="2">
        <v>22.5</v>
      </c>
      <c r="AH62" s="2">
        <v>3.5526315789473686</v>
      </c>
      <c r="AI62" s="3">
        <v>4.5238095238095237E-4</v>
      </c>
      <c r="AK62" s="2">
        <f t="shared" si="10"/>
        <v>1.6071428571428572</v>
      </c>
      <c r="AL62">
        <v>170000</v>
      </c>
      <c r="AM62" s="2">
        <v>650</v>
      </c>
      <c r="AN62">
        <v>380</v>
      </c>
      <c r="AO62">
        <v>150</v>
      </c>
      <c r="AP62" s="2">
        <v>4.333333333333333</v>
      </c>
      <c r="AQ62" s="2">
        <v>1.7105263157894737</v>
      </c>
      <c r="AR62" s="3">
        <v>2.2352941176470588E-3</v>
      </c>
      <c r="AT62" s="2">
        <f t="shared" si="12"/>
        <v>3.8235294117647061</v>
      </c>
      <c r="AU62" s="68">
        <f>SUM(B62+K62+T62+AC62+AL62)</f>
        <v>1380000</v>
      </c>
      <c r="AV62" s="69">
        <f>SUM(C62+L62+U62+AD62+AM62)</f>
        <v>4325</v>
      </c>
      <c r="AW62" s="70">
        <f>SUM(D62+M62+V62+AE62+AN62)</f>
        <v>1560</v>
      </c>
      <c r="AX62" s="70">
        <f>SUM(E62+N62+W62+AF62+AO62)</f>
        <v>485</v>
      </c>
      <c r="AY62" s="69">
        <f t="shared" si="0"/>
        <v>8.9175257731958766</v>
      </c>
      <c r="AZ62" s="69">
        <f t="shared" si="1"/>
        <v>2.7724358974358974</v>
      </c>
      <c r="BA62" s="71">
        <f t="shared" si="2"/>
        <v>1.1304347826086956E-3</v>
      </c>
      <c r="BB62" s="71">
        <f t="shared" si="3"/>
        <v>0.3108974358974359</v>
      </c>
      <c r="BC62" s="69">
        <f t="shared" si="4"/>
        <v>3.1340579710144927</v>
      </c>
    </row>
    <row r="63" spans="1:55" x14ac:dyDescent="0.35">
      <c r="A63" s="1">
        <v>41759</v>
      </c>
      <c r="B63">
        <v>380000</v>
      </c>
      <c r="C63" s="2">
        <v>250</v>
      </c>
      <c r="D63">
        <v>260</v>
      </c>
      <c r="E63">
        <v>75</v>
      </c>
      <c r="F63" s="2">
        <v>3.3333333333333335</v>
      </c>
      <c r="G63" s="2">
        <v>0.96153846153846156</v>
      </c>
      <c r="H63" s="3">
        <v>6.8421052631578944E-4</v>
      </c>
      <c r="J63" s="2">
        <f t="shared" si="5"/>
        <v>0.65789473684210531</v>
      </c>
      <c r="K63">
        <v>440000</v>
      </c>
      <c r="L63" s="2">
        <v>50</v>
      </c>
      <c r="M63">
        <v>600</v>
      </c>
      <c r="N63">
        <v>145</v>
      </c>
      <c r="O63" s="2">
        <v>0.34482758620689657</v>
      </c>
      <c r="P63" s="2">
        <v>8.3333333333333329E-2</v>
      </c>
      <c r="Q63" s="3">
        <v>1.3636363636363637E-3</v>
      </c>
      <c r="S63" s="2">
        <f t="shared" si="6"/>
        <v>0.11363636363636363</v>
      </c>
      <c r="T63">
        <v>150000</v>
      </c>
      <c r="U63" s="2">
        <v>275</v>
      </c>
      <c r="V63">
        <v>350</v>
      </c>
      <c r="W63">
        <v>130</v>
      </c>
      <c r="X63" s="2">
        <f t="shared" si="7"/>
        <v>2.1153846153846154</v>
      </c>
      <c r="Y63" s="2">
        <f t="shared" si="8"/>
        <v>0.7857142857142857</v>
      </c>
      <c r="Z63" s="3"/>
      <c r="AB63" s="2">
        <f t="shared" si="9"/>
        <v>1.8333333333333333</v>
      </c>
      <c r="AC63">
        <v>100000</v>
      </c>
      <c r="AD63" s="2">
        <v>150</v>
      </c>
      <c r="AE63">
        <v>750</v>
      </c>
      <c r="AF63">
        <v>15</v>
      </c>
      <c r="AG63" s="2">
        <v>10</v>
      </c>
      <c r="AH63" s="2">
        <v>0.2</v>
      </c>
      <c r="AI63" s="3">
        <v>7.4999999999999997E-3</v>
      </c>
      <c r="AK63" s="2">
        <f t="shared" si="10"/>
        <v>1.5</v>
      </c>
      <c r="AL63">
        <v>250000</v>
      </c>
      <c r="AM63" s="2">
        <v>1225</v>
      </c>
      <c r="AN63">
        <v>630</v>
      </c>
      <c r="AO63">
        <v>140</v>
      </c>
      <c r="AP63" s="2">
        <v>8.75</v>
      </c>
      <c r="AQ63" s="2">
        <v>1.9444444444444444</v>
      </c>
      <c r="AR63" s="3">
        <v>2.5200000000000001E-3</v>
      </c>
      <c r="AT63" s="2">
        <f t="shared" si="12"/>
        <v>4.9000000000000004</v>
      </c>
      <c r="AU63" s="68">
        <f>SUM(B63+K63+T63+AC63+AL63)</f>
        <v>1320000</v>
      </c>
      <c r="AV63" s="69">
        <f>SUM(C63+L63+U63+AD63+AM63)</f>
        <v>1950</v>
      </c>
      <c r="AW63" s="70">
        <f>SUM(D63+M63+V63+AE63+AN63)</f>
        <v>2590</v>
      </c>
      <c r="AX63" s="70">
        <f>SUM(E63+N63+W63+AF63+AO63)</f>
        <v>505</v>
      </c>
      <c r="AY63" s="69">
        <f t="shared" si="0"/>
        <v>3.8613861386138613</v>
      </c>
      <c r="AZ63" s="69">
        <f t="shared" si="1"/>
        <v>0.75289575289575295</v>
      </c>
      <c r="BA63" s="71">
        <f t="shared" si="2"/>
        <v>1.9621212121212119E-3</v>
      </c>
      <c r="BB63" s="71">
        <f t="shared" si="3"/>
        <v>0.19498069498069498</v>
      </c>
      <c r="BC63" s="69">
        <f t="shared" si="4"/>
        <v>1.4772727272727273</v>
      </c>
    </row>
    <row r="64" spans="1:55" x14ac:dyDescent="0.35">
      <c r="A64" s="1">
        <v>41760</v>
      </c>
    </row>
    <row r="65" spans="1:43" x14ac:dyDescent="0.35">
      <c r="A65" s="1">
        <v>41761</v>
      </c>
      <c r="G65" s="21"/>
      <c r="P65" s="21"/>
      <c r="AH65" s="21"/>
      <c r="AQ65" s="21"/>
    </row>
    <row r="66" spans="1:43" x14ac:dyDescent="0.35">
      <c r="A66" s="1">
        <v>41762</v>
      </c>
    </row>
    <row r="67" spans="1:43" x14ac:dyDescent="0.35">
      <c r="A67" s="1">
        <v>41763</v>
      </c>
    </row>
    <row r="68" spans="1:43" x14ac:dyDescent="0.35">
      <c r="A68" s="1">
        <v>41764</v>
      </c>
    </row>
    <row r="69" spans="1:43" x14ac:dyDescent="0.35">
      <c r="A69" s="1">
        <v>41765</v>
      </c>
    </row>
    <row r="70" spans="1:43" x14ac:dyDescent="0.35">
      <c r="A70" s="1">
        <v>41766</v>
      </c>
    </row>
    <row r="71" spans="1:43" x14ac:dyDescent="0.35">
      <c r="A71" s="1">
        <v>41767</v>
      </c>
    </row>
    <row r="72" spans="1:43" x14ac:dyDescent="0.35">
      <c r="A72" s="1">
        <v>41768</v>
      </c>
    </row>
    <row r="73" spans="1:43" x14ac:dyDescent="0.35">
      <c r="A73" s="1">
        <v>41769</v>
      </c>
    </row>
    <row r="74" spans="1:43" x14ac:dyDescent="0.35">
      <c r="A74" s="1">
        <v>41770</v>
      </c>
    </row>
    <row r="75" spans="1:43" x14ac:dyDescent="0.35">
      <c r="A75" s="1">
        <v>41771</v>
      </c>
    </row>
    <row r="76" spans="1:43" x14ac:dyDescent="0.35">
      <c r="A76" s="1">
        <v>41772</v>
      </c>
    </row>
    <row r="77" spans="1:43" x14ac:dyDescent="0.35">
      <c r="A77" s="1">
        <v>41773</v>
      </c>
      <c r="V77" s="28"/>
    </row>
    <row r="78" spans="1:43" x14ac:dyDescent="0.35">
      <c r="A78" s="1">
        <v>41774</v>
      </c>
    </row>
    <row r="79" spans="1:43" x14ac:dyDescent="0.35">
      <c r="A79" s="1">
        <v>41775</v>
      </c>
    </row>
    <row r="80" spans="1:43" x14ac:dyDescent="0.35">
      <c r="A80" s="1">
        <v>41776</v>
      </c>
    </row>
    <row r="81" spans="1:46" x14ac:dyDescent="0.35">
      <c r="A81" s="1">
        <v>41777</v>
      </c>
    </row>
    <row r="82" spans="1:46" x14ac:dyDescent="0.35">
      <c r="A82" s="1">
        <v>41778</v>
      </c>
    </row>
    <row r="83" spans="1:46" x14ac:dyDescent="0.35">
      <c r="A83" s="1">
        <v>41779</v>
      </c>
    </row>
    <row r="84" spans="1:46" x14ac:dyDescent="0.35">
      <c r="A84" s="1">
        <v>41780</v>
      </c>
    </row>
    <row r="85" spans="1:46" x14ac:dyDescent="0.35">
      <c r="A85" s="1">
        <v>41781</v>
      </c>
    </row>
    <row r="86" spans="1:46" x14ac:dyDescent="0.35">
      <c r="A86" s="1">
        <v>41782</v>
      </c>
    </row>
    <row r="87" spans="1:46" x14ac:dyDescent="0.35">
      <c r="A87" s="1">
        <v>41783</v>
      </c>
    </row>
    <row r="88" spans="1:46" x14ac:dyDescent="0.35">
      <c r="A88" s="1">
        <v>41784</v>
      </c>
    </row>
    <row r="89" spans="1:46" x14ac:dyDescent="0.35">
      <c r="A89" s="1">
        <v>41785</v>
      </c>
    </row>
    <row r="90" spans="1:46" x14ac:dyDescent="0.35">
      <c r="A90" s="1">
        <v>41786</v>
      </c>
    </row>
    <row r="91" spans="1:46" x14ac:dyDescent="0.35">
      <c r="A91" s="1">
        <v>41787</v>
      </c>
    </row>
    <row r="92" spans="1:46" x14ac:dyDescent="0.35">
      <c r="A92" s="1">
        <v>41788</v>
      </c>
    </row>
    <row r="93" spans="1:46" x14ac:dyDescent="0.35">
      <c r="A93" s="1">
        <v>41789</v>
      </c>
    </row>
    <row r="94" spans="1:46" x14ac:dyDescent="0.35">
      <c r="A94" s="1">
        <v>41790</v>
      </c>
    </row>
    <row r="95" spans="1:46" x14ac:dyDescent="0.35">
      <c r="A95" s="1"/>
      <c r="F95" s="42">
        <f>SUM(F3:F94)</f>
        <v>519.79873678830018</v>
      </c>
      <c r="G95" s="42">
        <f>SUM(G3:G94)</f>
        <v>119.02152488080276</v>
      </c>
      <c r="H95" s="43"/>
      <c r="I95" s="44"/>
      <c r="J95" s="42">
        <f>SUM(J3:J94)</f>
        <v>369.96964496705948</v>
      </c>
      <c r="K95" s="45"/>
      <c r="L95" s="42"/>
      <c r="M95" s="46"/>
      <c r="N95" s="46"/>
      <c r="O95" s="42">
        <f>SUM(O3:O94)</f>
        <v>259.89446031886388</v>
      </c>
      <c r="P95" s="42">
        <f>SUM(P3:P94)</f>
        <v>67.240905037792231</v>
      </c>
      <c r="Q95" s="43"/>
      <c r="R95" s="44"/>
      <c r="S95" s="42">
        <f>SUM(S3:S94)</f>
        <v>213.6950449371036</v>
      </c>
      <c r="T95" s="45"/>
      <c r="U95" s="42"/>
      <c r="V95" s="46"/>
      <c r="W95" s="46"/>
      <c r="X95" s="42">
        <f>SUM(X3:X94)</f>
        <v>561.22036574132596</v>
      </c>
      <c r="Y95" s="42">
        <f>SUM(Y3:Y94)</f>
        <v>102.8865830544475</v>
      </c>
      <c r="Z95" s="43"/>
      <c r="AA95" s="44"/>
      <c r="AB95" s="42">
        <f>SUM(AB3:AB94)</f>
        <v>167.63815945043333</v>
      </c>
      <c r="AC95" s="45"/>
      <c r="AD95" s="42"/>
      <c r="AE95" s="46"/>
      <c r="AF95" s="46"/>
      <c r="AG95" s="42">
        <f>SUM(AG3:AG94)</f>
        <v>545.20769399517394</v>
      </c>
      <c r="AH95" s="42">
        <f>SUM(AH3:AH94)</f>
        <v>109.99262709330871</v>
      </c>
      <c r="AI95" s="43"/>
      <c r="AJ95" s="44"/>
      <c r="AK95" s="42">
        <f>SUM(AK3:AK94)</f>
        <v>71.242190423552103</v>
      </c>
      <c r="AL95" s="45"/>
      <c r="AM95" s="42"/>
      <c r="AN95" s="46"/>
      <c r="AO95" s="46"/>
      <c r="AP95" s="42">
        <f>SUM(AP3:AP94)</f>
        <v>151.30705085462154</v>
      </c>
      <c r="AQ95" s="42">
        <f>SUM(AQ3:AQ94)</f>
        <v>74.511717873390765</v>
      </c>
      <c r="AR95" s="43"/>
      <c r="AS95" s="44"/>
      <c r="AT95" s="42">
        <f>SUM(AT3:AT94)</f>
        <v>149.57322612524391</v>
      </c>
    </row>
    <row r="96" spans="1:46" x14ac:dyDescent="0.35">
      <c r="A96" s="1"/>
    </row>
    <row r="97" spans="1:33" x14ac:dyDescent="0.35">
      <c r="A97" s="1"/>
    </row>
    <row r="98" spans="1:33" x14ac:dyDescent="0.35">
      <c r="A98" s="1"/>
    </row>
    <row r="99" spans="1:33" x14ac:dyDescent="0.35">
      <c r="A99" s="1"/>
      <c r="AG99">
        <f>MATCH(AB63,(AB63:AC63),0)</f>
        <v>1</v>
      </c>
    </row>
    <row r="100" spans="1:33" x14ac:dyDescent="0.35">
      <c r="A100" s="1"/>
    </row>
    <row r="101" spans="1:33" x14ac:dyDescent="0.35">
      <c r="A101" s="1"/>
    </row>
    <row r="102" spans="1:33" x14ac:dyDescent="0.35">
      <c r="A102" s="1"/>
    </row>
    <row r="103" spans="1:33" x14ac:dyDescent="0.35">
      <c r="A103" s="1"/>
    </row>
    <row r="104" spans="1:33" x14ac:dyDescent="0.35">
      <c r="A104" s="1"/>
    </row>
    <row r="105" spans="1:33" x14ac:dyDescent="0.35">
      <c r="A105" s="1"/>
      <c r="F105" s="41"/>
    </row>
    <row r="106" spans="1:33" x14ac:dyDescent="0.35">
      <c r="A106" s="1"/>
    </row>
    <row r="107" spans="1:33" x14ac:dyDescent="0.35">
      <c r="A107" s="1"/>
    </row>
    <row r="108" spans="1:33" x14ac:dyDescent="0.35">
      <c r="A108" s="1"/>
      <c r="C108" s="40" cm="1">
        <f t="array" ref="C108">INDEX(B1:S1,1,COLUMN(F1),1)</f>
        <v>0</v>
      </c>
    </row>
    <row r="109" spans="1:33" x14ac:dyDescent="0.35">
      <c r="A109" s="1"/>
    </row>
    <row r="110" spans="1:33" x14ac:dyDescent="0.35">
      <c r="A110" s="1"/>
    </row>
    <row r="111" spans="1:33" x14ac:dyDescent="0.35">
      <c r="A111" s="1"/>
    </row>
    <row r="112" spans="1:33" x14ac:dyDescent="0.35">
      <c r="A112" s="1"/>
    </row>
    <row r="113" spans="1:1" x14ac:dyDescent="0.35">
      <c r="A113" s="1"/>
    </row>
    <row r="114" spans="1:1" x14ac:dyDescent="0.35">
      <c r="A114" s="1"/>
    </row>
    <row r="115" spans="1:1" x14ac:dyDescent="0.35">
      <c r="A115" s="1"/>
    </row>
    <row r="116" spans="1:1" x14ac:dyDescent="0.35">
      <c r="A116" s="1"/>
    </row>
    <row r="117" spans="1:1" x14ac:dyDescent="0.35">
      <c r="A117" s="1"/>
    </row>
    <row r="118" spans="1:1" x14ac:dyDescent="0.35">
      <c r="A118" s="1"/>
    </row>
    <row r="119" spans="1:1" x14ac:dyDescent="0.35">
      <c r="A119" s="1"/>
    </row>
  </sheetData>
  <mergeCells count="5">
    <mergeCell ref="B1:J1"/>
    <mergeCell ref="K1:S1"/>
    <mergeCell ref="T1:AB1"/>
    <mergeCell ref="AC1:AK1"/>
    <mergeCell ref="AL1:AT1"/>
  </mergeCells>
  <pageMargins left="0.7" right="0.7" top="0.75" bottom="0.75" header="0.3" footer="0.3"/>
  <pageSetup orientation="portrait" horizontalDpi="4294967292" verticalDpi="4294967292"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A2F19-ED84-4E79-9B3B-6B79974DBC57}">
  <sheetPr codeName="Sheet3"/>
  <dimension ref="A1:F12"/>
  <sheetViews>
    <sheetView topLeftCell="A4" workbookViewId="0">
      <selection activeCell="B8" sqref="B8:F8"/>
    </sheetView>
  </sheetViews>
  <sheetFormatPr defaultRowHeight="14.5" x14ac:dyDescent="0.35"/>
  <cols>
    <col min="1" max="1" width="12.6328125" bestFit="1" customWidth="1"/>
    <col min="2" max="2" width="18.81640625" bestFit="1" customWidth="1"/>
    <col min="3" max="3" width="18.26953125" bestFit="1" customWidth="1"/>
    <col min="4" max="4" width="18.6328125" bestFit="1" customWidth="1"/>
    <col min="5" max="5" width="18.08984375" bestFit="1" customWidth="1"/>
    <col min="6" max="6" width="20.7265625" bestFit="1" customWidth="1"/>
  </cols>
  <sheetData>
    <row r="1" spans="1:6" x14ac:dyDescent="0.35">
      <c r="A1" s="58" t="s">
        <v>426</v>
      </c>
      <c r="B1" s="58"/>
      <c r="C1" s="58"/>
      <c r="D1" s="58"/>
      <c r="E1" s="58"/>
    </row>
    <row r="2" spans="1:6" x14ac:dyDescent="0.35">
      <c r="A2" s="58"/>
      <c r="B2" s="58"/>
      <c r="C2" s="58"/>
      <c r="D2" s="58"/>
      <c r="E2" s="58"/>
    </row>
    <row r="3" spans="1:6" x14ac:dyDescent="0.35">
      <c r="A3" s="58"/>
      <c r="B3" s="58"/>
      <c r="C3" s="58"/>
      <c r="D3" s="58"/>
      <c r="E3" s="58"/>
    </row>
    <row r="4" spans="1:6" x14ac:dyDescent="0.35">
      <c r="A4" s="58"/>
      <c r="B4" s="58"/>
      <c r="C4" s="58"/>
      <c r="D4" s="58"/>
      <c r="E4" s="58"/>
    </row>
    <row r="8" spans="1:6" x14ac:dyDescent="0.35">
      <c r="A8" t="s">
        <v>427</v>
      </c>
      <c r="B8" s="67" t="s">
        <v>417</v>
      </c>
      <c r="C8" s="67" t="s">
        <v>418</v>
      </c>
      <c r="D8" s="67" t="s">
        <v>419</v>
      </c>
      <c r="E8" s="67" t="s">
        <v>420</v>
      </c>
      <c r="F8" s="67" t="s">
        <v>421</v>
      </c>
    </row>
    <row r="9" spans="1:6" x14ac:dyDescent="0.35">
      <c r="A9" t="s">
        <v>422</v>
      </c>
      <c r="B9" s="16"/>
      <c r="C9" s="16"/>
      <c r="D9" s="16"/>
      <c r="E9" s="16"/>
      <c r="F9" s="16"/>
    </row>
    <row r="10" spans="1:6" x14ac:dyDescent="0.35">
      <c r="A10" t="s">
        <v>423</v>
      </c>
      <c r="B10" s="27">
        <f>(SUM('spend data'!AV34:AV63))/SUM('spend data'!AW34:AW63)</f>
        <v>1.8230467356403852</v>
      </c>
      <c r="C10" s="27">
        <f>(SUM('spend data'!AV34:AV63))/SUM('spend data'!AX34:AX63)</f>
        <v>5.5213398163155052</v>
      </c>
      <c r="D10" s="31">
        <f>(SUM('spend data'!AW34:AW63))/SUM('spend data'!AU34:AU63)</f>
        <v>1.42828025477707E-3</v>
      </c>
      <c r="E10" s="31">
        <f>(SUM('spend data'!AX34:AX63))/SUM('spend data'!AW34:AW63)</f>
        <v>0.33018194791295041</v>
      </c>
      <c r="F10" s="27">
        <f>(SUM('spend data'!AV34:AV63))/(SUM('spend data'!AU34:AU63)/1000)</f>
        <v>2.6038216560509553</v>
      </c>
    </row>
    <row r="11" spans="1:6" x14ac:dyDescent="0.35">
      <c r="A11" t="s">
        <v>424</v>
      </c>
      <c r="B11" s="16"/>
      <c r="C11" s="16"/>
      <c r="D11" s="16"/>
      <c r="E11" s="16"/>
      <c r="F11" s="16"/>
    </row>
    <row r="12" spans="1:6" x14ac:dyDescent="0.35">
      <c r="A12" t="s">
        <v>425</v>
      </c>
      <c r="B12" s="50">
        <f>SUM(B9:B11)</f>
        <v>1.8230467356403852</v>
      </c>
      <c r="C12" s="50">
        <f t="shared" ref="C12:F12" si="0">SUM(C9:C11)</f>
        <v>5.5213398163155052</v>
      </c>
      <c r="D12" s="51">
        <f t="shared" si="0"/>
        <v>1.42828025477707E-3</v>
      </c>
      <c r="E12" s="51">
        <f t="shared" si="0"/>
        <v>0.33018194791295041</v>
      </c>
      <c r="F12" s="50">
        <f t="shared" si="0"/>
        <v>2.6038216560509553</v>
      </c>
    </row>
  </sheetData>
  <mergeCells count="1">
    <mergeCell ref="A1:E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2:J26"/>
  <sheetViews>
    <sheetView workbookViewId="0">
      <selection activeCell="B34" sqref="B34"/>
    </sheetView>
  </sheetViews>
  <sheetFormatPr defaultColWidth="8.81640625" defaultRowHeight="14.5" x14ac:dyDescent="0.35"/>
  <cols>
    <col min="1" max="1" width="17.453125" customWidth="1"/>
    <col min="2" max="2" width="31.7265625" customWidth="1"/>
    <col min="3" max="3" width="11.6328125" bestFit="1" customWidth="1"/>
    <col min="4" max="4" width="12.26953125" bestFit="1" customWidth="1"/>
    <col min="5" max="5" width="12.36328125" bestFit="1" customWidth="1"/>
    <col min="6" max="6" width="17.36328125" bestFit="1" customWidth="1"/>
    <col min="7" max="7" width="12.26953125" bestFit="1" customWidth="1"/>
    <col min="8" max="9" width="11.7265625" bestFit="1" customWidth="1"/>
  </cols>
  <sheetData>
    <row r="2" spans="1:10" ht="15" customHeight="1" x14ac:dyDescent="0.35">
      <c r="A2" s="59" t="s">
        <v>414</v>
      </c>
      <c r="B2" s="59"/>
    </row>
    <row r="3" spans="1:10" x14ac:dyDescent="0.35">
      <c r="A3" s="59"/>
      <c r="B3" s="59"/>
    </row>
    <row r="5" spans="1:10" x14ac:dyDescent="0.35">
      <c r="A5" s="15" t="s">
        <v>2</v>
      </c>
      <c r="B5" s="30" cm="1">
        <f t="array" ref="B5">INDEX('spend data'!AV34:AV63,MATCH("4/13/2014",TEXT('spend data'!A34:A63,"m/dd/yyy"),0))</f>
        <v>2750</v>
      </c>
    </row>
    <row r="7" spans="1:10" x14ac:dyDescent="0.35">
      <c r="A7" s="15" t="s">
        <v>1</v>
      </c>
      <c r="B7" s="16" cm="1">
        <f t="array" ref="B7">INDEX('spend data'!AU34:AU63,MATCH("4/13/2014",TEXT('spend data'!A34:A63,"m/dd/yyy"),0))</f>
        <v>1510000</v>
      </c>
    </row>
    <row r="9" spans="1:10" x14ac:dyDescent="0.35">
      <c r="A9" s="15" t="s">
        <v>3</v>
      </c>
      <c r="B9" s="16" cm="1">
        <f t="array" ref="B9">INDEX('spend data'!AW34:AW63,MATCH("4/13/2014",TEXT('spend data'!A34:A63,"m/dd/yyy"),0))</f>
        <v>1220</v>
      </c>
      <c r="J9" s="21"/>
    </row>
    <row r="11" spans="1:10" x14ac:dyDescent="0.35">
      <c r="A11" s="15" t="s">
        <v>4</v>
      </c>
      <c r="B11" s="16" cm="1">
        <f t="array" ref="B11">INDEX('spend data'!AX34:AX63,MATCH("4/13/2014",TEXT('spend data'!A34:A63,"m/dd/yyy"),0))</f>
        <v>560</v>
      </c>
      <c r="F11">
        <f>MATCH('part 2 of test'!C24,'spend data'!A95:AT95,0)</f>
        <v>24</v>
      </c>
    </row>
    <row r="15" spans="1:10" x14ac:dyDescent="0.35">
      <c r="A15" s="59" t="s">
        <v>416</v>
      </c>
      <c r="B15" s="59"/>
    </row>
    <row r="16" spans="1:10" x14ac:dyDescent="0.35">
      <c r="A16" s="59"/>
      <c r="B16" s="59"/>
    </row>
    <row r="18" spans="1:3" x14ac:dyDescent="0.35">
      <c r="A18" s="15" t="s">
        <v>2</v>
      </c>
      <c r="B18" s="22" t="s">
        <v>12</v>
      </c>
      <c r="C18" s="23">
        <v>21200</v>
      </c>
    </row>
    <row r="20" spans="1:3" x14ac:dyDescent="0.35">
      <c r="A20" s="15" t="s">
        <v>6</v>
      </c>
      <c r="B20" s="22" t="s">
        <v>8</v>
      </c>
      <c r="C20" s="23">
        <f>MAX('spend data'!G95,'spend data'!P95,'spend data'!Y95,'spend data'!AH95,'spend data'!AQ95)</f>
        <v>119.02152488080276</v>
      </c>
    </row>
    <row r="22" spans="1:3" x14ac:dyDescent="0.35">
      <c r="A22" s="15" t="s">
        <v>10</v>
      </c>
      <c r="B22" s="22" t="s">
        <v>8</v>
      </c>
      <c r="C22" s="23">
        <f>MAX('spend data'!J95,'spend data'!S95,'spend data'!AB95,'spend data'!AK95,'spend data'!AT95)</f>
        <v>369.96964496705948</v>
      </c>
    </row>
    <row r="24" spans="1:3" x14ac:dyDescent="0.35">
      <c r="A24" s="15" t="s">
        <v>5</v>
      </c>
      <c r="B24" s="22" t="s">
        <v>12</v>
      </c>
      <c r="C24" s="23">
        <f>MAX('spend data'!AG95,'spend data'!AP95,'spend data'!X95,'spend data'!O95,'spend data'!F95)</f>
        <v>561.22036574132596</v>
      </c>
    </row>
    <row r="26" spans="1:3" x14ac:dyDescent="0.35">
      <c r="A26" s="15"/>
    </row>
  </sheetData>
  <mergeCells count="2">
    <mergeCell ref="A2:B3"/>
    <mergeCell ref="A15:B16"/>
  </mergeCells>
  <pageMargins left="0.7" right="0.7" top="0.75" bottom="0.75" header="0.3" footer="0.3"/>
  <pageSetup orientation="portrait" horizontalDpi="300" verticalDpi="300" r:id="rId1"/>
  <ignoredErrors>
    <ignoredError sqref="B5 B7 B9 B11" formulaRange="1"/>
  </ignoredError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K40"/>
  <sheetViews>
    <sheetView workbookViewId="0">
      <selection activeCell="M9" sqref="M9"/>
    </sheetView>
  </sheetViews>
  <sheetFormatPr defaultColWidth="8.81640625" defaultRowHeight="14.5" x14ac:dyDescent="0.35"/>
  <cols>
    <col min="1" max="25" width="9" customWidth="1"/>
  </cols>
  <sheetData>
    <row r="1" spans="1:11" x14ac:dyDescent="0.35">
      <c r="A1" s="60" t="s">
        <v>397</v>
      </c>
      <c r="B1" s="60"/>
      <c r="C1" s="60"/>
      <c r="D1" s="60"/>
      <c r="E1" s="60"/>
      <c r="F1" s="60"/>
      <c r="G1" s="60"/>
      <c r="H1" s="60"/>
      <c r="I1" s="60"/>
      <c r="J1" s="60"/>
    </row>
    <row r="2" spans="1:11" x14ac:dyDescent="0.35">
      <c r="A2" s="60"/>
      <c r="B2" s="60"/>
      <c r="C2" s="60"/>
      <c r="D2" s="60"/>
      <c r="E2" s="60"/>
      <c r="F2" s="60"/>
      <c r="G2" s="60"/>
      <c r="H2" s="60"/>
      <c r="I2" s="60"/>
      <c r="J2" s="60"/>
    </row>
    <row r="3" spans="1:11" x14ac:dyDescent="0.35">
      <c r="A3" s="60"/>
      <c r="B3" s="60"/>
      <c r="C3" s="60"/>
      <c r="D3" s="60"/>
      <c r="E3" s="60"/>
      <c r="F3" s="60"/>
      <c r="G3" s="60"/>
      <c r="H3" s="60"/>
      <c r="I3" s="60"/>
      <c r="J3" s="60"/>
    </row>
    <row r="4" spans="1:11" x14ac:dyDescent="0.35">
      <c r="A4" s="60"/>
      <c r="B4" s="60"/>
      <c r="C4" s="60"/>
      <c r="D4" s="60"/>
      <c r="E4" s="60"/>
      <c r="F4" s="60"/>
      <c r="G4" s="60"/>
      <c r="H4" s="60"/>
      <c r="I4" s="60"/>
      <c r="J4" s="60"/>
    </row>
    <row r="6" spans="1:11" x14ac:dyDescent="0.35">
      <c r="A6" s="66" t="s">
        <v>437</v>
      </c>
      <c r="B6" s="66"/>
      <c r="C6" s="66"/>
      <c r="D6" s="66"/>
      <c r="E6" s="66"/>
      <c r="F6" s="66"/>
      <c r="G6" s="66"/>
      <c r="H6" s="66"/>
      <c r="I6" s="66"/>
      <c r="J6" s="66"/>
      <c r="K6" s="66"/>
    </row>
    <row r="7" spans="1:11" x14ac:dyDescent="0.35">
      <c r="A7" s="15"/>
    </row>
    <row r="8" spans="1:11" x14ac:dyDescent="0.35">
      <c r="A8" s="1"/>
    </row>
    <row r="9" spans="1:11" x14ac:dyDescent="0.35">
      <c r="A9" s="1"/>
      <c r="E9" s="17"/>
      <c r="F9" s="18"/>
      <c r="G9" s="18"/>
      <c r="H9" s="18"/>
      <c r="I9" s="18"/>
    </row>
    <row r="10" spans="1:11" x14ac:dyDescent="0.35">
      <c r="A10" s="1"/>
      <c r="E10" s="17"/>
      <c r="F10" s="18"/>
      <c r="G10" s="18"/>
      <c r="H10" s="18"/>
      <c r="I10" s="18"/>
    </row>
    <row r="11" spans="1:11" x14ac:dyDescent="0.35">
      <c r="A11" s="1"/>
      <c r="E11" s="17"/>
      <c r="F11" s="18"/>
      <c r="G11" s="18"/>
      <c r="H11" s="18"/>
      <c r="I11" s="18"/>
    </row>
    <row r="12" spans="1:11" x14ac:dyDescent="0.35">
      <c r="A12" s="1"/>
      <c r="E12" s="17"/>
      <c r="F12" s="18"/>
      <c r="G12" s="18"/>
      <c r="H12" s="18"/>
      <c r="I12" s="18"/>
    </row>
    <row r="13" spans="1:11" x14ac:dyDescent="0.35">
      <c r="A13" s="1"/>
      <c r="E13" s="17"/>
      <c r="F13" s="18"/>
      <c r="G13" s="18"/>
      <c r="H13" s="18"/>
      <c r="I13" s="18"/>
    </row>
    <row r="14" spans="1:11" x14ac:dyDescent="0.35">
      <c r="A14" s="1"/>
      <c r="E14" s="17"/>
      <c r="F14" s="18"/>
      <c r="G14" s="18"/>
      <c r="H14" s="18"/>
      <c r="I14" s="18"/>
    </row>
    <row r="15" spans="1:11" x14ac:dyDescent="0.35">
      <c r="A15" s="1"/>
      <c r="E15" s="17"/>
      <c r="F15" s="18"/>
      <c r="G15" s="18"/>
      <c r="H15" s="18"/>
      <c r="I15" s="18"/>
    </row>
    <row r="16" spans="1:11" x14ac:dyDescent="0.35">
      <c r="A16" s="1"/>
      <c r="E16" s="17"/>
      <c r="F16" s="18"/>
      <c r="G16" s="18"/>
      <c r="H16" s="18"/>
      <c r="I16" s="18"/>
    </row>
    <row r="17" spans="1:9" x14ac:dyDescent="0.35">
      <c r="A17" s="1"/>
      <c r="E17" s="17"/>
      <c r="F17" s="18"/>
      <c r="G17" s="18"/>
      <c r="H17" s="18"/>
      <c r="I17" s="18"/>
    </row>
    <row r="18" spans="1:9" x14ac:dyDescent="0.35">
      <c r="A18" s="1"/>
      <c r="E18" s="17"/>
      <c r="F18" s="18"/>
      <c r="G18" s="18"/>
      <c r="H18" s="18"/>
      <c r="I18" s="18"/>
    </row>
    <row r="19" spans="1:9" x14ac:dyDescent="0.35">
      <c r="A19" s="1"/>
      <c r="E19" s="17"/>
      <c r="F19" s="18"/>
      <c r="G19" s="18"/>
      <c r="H19" s="18"/>
      <c r="I19" s="18"/>
    </row>
    <row r="20" spans="1:9" x14ac:dyDescent="0.35">
      <c r="A20" s="1"/>
      <c r="E20" s="17"/>
      <c r="F20" s="18"/>
      <c r="G20" s="18"/>
      <c r="H20" s="18"/>
      <c r="I20" s="18"/>
    </row>
    <row r="21" spans="1:9" x14ac:dyDescent="0.35">
      <c r="A21" s="1"/>
    </row>
    <row r="22" spans="1:9" x14ac:dyDescent="0.35">
      <c r="A22" s="1"/>
    </row>
    <row r="23" spans="1:9" x14ac:dyDescent="0.35">
      <c r="A23" s="1"/>
    </row>
    <row r="24" spans="1:9" x14ac:dyDescent="0.35">
      <c r="A24" s="1"/>
    </row>
    <row r="25" spans="1:9" x14ac:dyDescent="0.35">
      <c r="A25" s="1"/>
    </row>
    <row r="26" spans="1:9" x14ac:dyDescent="0.35">
      <c r="A26" s="1"/>
    </row>
    <row r="27" spans="1:9" x14ac:dyDescent="0.35">
      <c r="A27" s="1"/>
    </row>
    <row r="28" spans="1:9" x14ac:dyDescent="0.35">
      <c r="A28" s="1"/>
    </row>
    <row r="29" spans="1:9" x14ac:dyDescent="0.35">
      <c r="A29" s="1"/>
    </row>
    <row r="30" spans="1:9" x14ac:dyDescent="0.35">
      <c r="A30" s="1"/>
    </row>
    <row r="31" spans="1:9" x14ac:dyDescent="0.35">
      <c r="A31" s="1"/>
    </row>
    <row r="32" spans="1:9" x14ac:dyDescent="0.35">
      <c r="A32" s="1"/>
    </row>
    <row r="33" spans="1:1" x14ac:dyDescent="0.35">
      <c r="A33" s="1"/>
    </row>
    <row r="34" spans="1:1" x14ac:dyDescent="0.35">
      <c r="A34" s="1"/>
    </row>
    <row r="35" spans="1:1" x14ac:dyDescent="0.35">
      <c r="A35" s="1"/>
    </row>
    <row r="36" spans="1:1" x14ac:dyDescent="0.35">
      <c r="A36" s="1"/>
    </row>
    <row r="37" spans="1:1" x14ac:dyDescent="0.35">
      <c r="A37" s="1"/>
    </row>
    <row r="38" spans="1:1" x14ac:dyDescent="0.35">
      <c r="A38" s="1"/>
    </row>
    <row r="39" spans="1:1" x14ac:dyDescent="0.35">
      <c r="A39" s="1"/>
    </row>
    <row r="40" spans="1:1" x14ac:dyDescent="0.35">
      <c r="A40" s="1"/>
    </row>
  </sheetData>
  <mergeCells count="2">
    <mergeCell ref="A1:J4"/>
    <mergeCell ref="A6:K6"/>
  </mergeCells>
  <pageMargins left="0.7" right="0.7" top="0.75" bottom="0.75" header="0.3" footer="0.3"/>
  <pageSetup orientation="portrait"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21"/>
  <sheetViews>
    <sheetView topLeftCell="A2" workbookViewId="0">
      <selection activeCell="B8" sqref="B8:B21"/>
    </sheetView>
  </sheetViews>
  <sheetFormatPr defaultColWidth="8.81640625" defaultRowHeight="14.5" x14ac:dyDescent="0.35"/>
  <cols>
    <col min="1" max="1" width="56" customWidth="1"/>
    <col min="3" max="3" width="21.7265625" customWidth="1"/>
    <col min="4" max="4" width="20.81640625" customWidth="1"/>
    <col min="5" max="5" width="20.1796875" customWidth="1"/>
    <col min="6" max="6" width="24" bestFit="1" customWidth="1"/>
  </cols>
  <sheetData>
    <row r="1" spans="1:6" x14ac:dyDescent="0.35">
      <c r="A1" s="58" t="s">
        <v>413</v>
      </c>
      <c r="B1" s="58"/>
      <c r="C1" s="58"/>
      <c r="D1" s="58"/>
      <c r="E1" s="58"/>
    </row>
    <row r="2" spans="1:6" x14ac:dyDescent="0.35">
      <c r="A2" s="58"/>
      <c r="B2" s="58"/>
      <c r="C2" s="58"/>
      <c r="D2" s="58"/>
      <c r="E2" s="58"/>
    </row>
    <row r="3" spans="1:6" ht="15" customHeight="1" x14ac:dyDescent="0.35">
      <c r="A3" s="58"/>
      <c r="B3" s="58"/>
      <c r="C3" s="58"/>
      <c r="D3" s="58"/>
      <c r="E3" s="58"/>
    </row>
    <row r="4" spans="1:6" x14ac:dyDescent="0.35">
      <c r="A4" s="58"/>
      <c r="B4" s="58"/>
      <c r="C4" s="58"/>
      <c r="D4" s="58"/>
      <c r="E4" s="58"/>
    </row>
    <row r="6" spans="1:6" x14ac:dyDescent="0.35">
      <c r="A6" s="5" t="s">
        <v>24</v>
      </c>
      <c r="B6" s="5" t="s">
        <v>20</v>
      </c>
      <c r="C6" s="5" t="s">
        <v>21</v>
      </c>
      <c r="D6" s="5" t="s">
        <v>22</v>
      </c>
      <c r="E6" s="5" t="s">
        <v>23</v>
      </c>
      <c r="F6" s="5" t="s">
        <v>47</v>
      </c>
    </row>
    <row r="7" spans="1:6" x14ac:dyDescent="0.35">
      <c r="A7" s="14" t="s">
        <v>32</v>
      </c>
      <c r="B7" s="22" t="s">
        <v>25</v>
      </c>
      <c r="C7" s="22" t="s">
        <v>28</v>
      </c>
      <c r="D7" s="22" t="s">
        <v>26</v>
      </c>
      <c r="E7" s="22" t="s">
        <v>27</v>
      </c>
      <c r="F7" s="22" t="s">
        <v>48</v>
      </c>
    </row>
    <row r="8" spans="1:6" x14ac:dyDescent="0.35">
      <c r="A8" s="14" t="s">
        <v>33</v>
      </c>
      <c r="B8" s="65" t="str">
        <f>LEFT(A8, SEARCH("_",A8,1)-1)</f>
        <v>FR</v>
      </c>
      <c r="C8" s="16" t="str">
        <f>MID(A8, SEARCH("_",A8) + 1, SEARCH("_",A8,SEARCH("_",A8)+1) - SEARCH("_",A8) - 1)</f>
        <v>call of duty: world at war</v>
      </c>
      <c r="D8" s="16" t="str">
        <f>MID(A8, SEARCH("_",A8,SEARCH("_",A8)+1 )+1, (SEARCH("_",A8,SEARCH("_",A8, SEARCH("_",A8)+1 )+1)+1)-SEARCH("_",A8,SEARCH("_",A8)+1 )-2)</f>
        <v>iphone</v>
      </c>
      <c r="E8" s="16" t="str">
        <f>MID(A8, SEARCH("_",A8,SEARCH("_",A8,SEARCH("_",A8)+1)+1 )+1, (SEARCH("[",A8)+1)- SEARCH("_",A8,SEARCH("_",A8,SEARCH("_",A8)+1)+1 )-3)</f>
        <v>cpi</v>
      </c>
      <c r="F8" s="16" t="str">
        <f>MID(A8, SEARCH("[",A8 )+1, SEARCH("]",A8)- SEARCH("[",A8)-1)</f>
        <v>20140415-1000-70</v>
      </c>
    </row>
    <row r="9" spans="1:6" x14ac:dyDescent="0.35">
      <c r="A9" s="14" t="s">
        <v>34</v>
      </c>
      <c r="B9" s="65" t="str">
        <f t="shared" ref="B9:B21" si="0">LEFT(A9, SEARCH("_",A9,1)-1)</f>
        <v>MX</v>
      </c>
      <c r="C9" s="16" t="str">
        <f t="shared" ref="C9:C21" si="1">MID(A9, SEARCH("_",A9) + 1, SEARCH("_",A9,SEARCH("_",A9)+1) - SEARCH("_",A9) - 1)</f>
        <v>walmart</v>
      </c>
      <c r="D9" s="16" t="str">
        <f t="shared" ref="D9:D21" si="2">MID(A9, SEARCH("_",A9,SEARCH("_",A9)+1 )+1, (SEARCH("_",A9,SEARCH("_",A9, SEARCH("_",A9)+1 )+1)+1)-SEARCH("_",A9,SEARCH("_",A9)+1 )-2)</f>
        <v>ipad</v>
      </c>
      <c r="E9" s="16" t="str">
        <f t="shared" ref="E9:E21" si="3">MID(A9, SEARCH("_",A9,SEARCH("_",A9,SEARCH("_",A9)+1)+1 )+1, (SEARCH("[",A9)+1)- SEARCH("_",A9,SEARCH("_",A9,SEARCH("_",A9)+1)+1 )-3)</f>
        <v>cpi</v>
      </c>
      <c r="F9" s="16" t="str">
        <f t="shared" ref="F9:F21" si="4">MID(A9, SEARCH("[",A9 )+1, SEARCH("]",A9)- SEARCH("[",A9)-1)</f>
        <v>20140415-1000-833</v>
      </c>
    </row>
    <row r="10" spans="1:6" x14ac:dyDescent="0.35">
      <c r="A10" s="14" t="s">
        <v>35</v>
      </c>
      <c r="B10" s="65" t="str">
        <f t="shared" si="0"/>
        <v>US</v>
      </c>
      <c r="C10" s="16" t="str">
        <f t="shared" si="1"/>
        <v>sheldon cooper</v>
      </c>
      <c r="D10" s="16" t="str">
        <f t="shared" si="2"/>
        <v>ipad</v>
      </c>
      <c r="E10" s="16" t="str">
        <f t="shared" si="3"/>
        <v>cpi</v>
      </c>
      <c r="F10" s="16" t="str">
        <f t="shared" si="4"/>
        <v>20140415-1000-515</v>
      </c>
    </row>
    <row r="11" spans="1:6" x14ac:dyDescent="0.35">
      <c r="A11" s="14" t="s">
        <v>36</v>
      </c>
      <c r="B11" s="65" t="str">
        <f t="shared" si="0"/>
        <v>US</v>
      </c>
      <c r="C11" s="16" t="str">
        <f t="shared" si="1"/>
        <v>jeff dunham</v>
      </c>
      <c r="D11" s="16" t="str">
        <f t="shared" si="2"/>
        <v>iphone</v>
      </c>
      <c r="E11" s="16" t="str">
        <f t="shared" si="3"/>
        <v>cpi</v>
      </c>
      <c r="F11" s="16" t="str">
        <f t="shared" si="4"/>
        <v>20140415-1000-817</v>
      </c>
    </row>
    <row r="12" spans="1:6" x14ac:dyDescent="0.35">
      <c r="A12" s="14" t="s">
        <v>37</v>
      </c>
      <c r="B12" s="65" t="str">
        <f t="shared" si="0"/>
        <v>CA</v>
      </c>
      <c r="C12" s="16" t="str">
        <f t="shared" si="1"/>
        <v>target</v>
      </c>
      <c r="D12" s="16" t="str">
        <f t="shared" si="2"/>
        <v>iphone</v>
      </c>
      <c r="E12" s="16" t="str">
        <f t="shared" si="3"/>
        <v>cpi</v>
      </c>
      <c r="F12" s="16" t="str">
        <f t="shared" si="4"/>
        <v>20140415-1000-674</v>
      </c>
    </row>
    <row r="13" spans="1:6" x14ac:dyDescent="0.35">
      <c r="A13" s="14" t="s">
        <v>38</v>
      </c>
      <c r="B13" s="65" t="str">
        <f t="shared" si="0"/>
        <v>FR</v>
      </c>
      <c r="C13" s="16" t="str">
        <f t="shared" si="1"/>
        <v>shakira</v>
      </c>
      <c r="D13" s="16" t="str">
        <f t="shared" si="2"/>
        <v>iphone</v>
      </c>
      <c r="E13" s="16" t="str">
        <f t="shared" si="3"/>
        <v>cpi</v>
      </c>
      <c r="F13" s="16" t="str">
        <f t="shared" si="4"/>
        <v>20140415-1000-223</v>
      </c>
    </row>
    <row r="14" spans="1:6" x14ac:dyDescent="0.35">
      <c r="A14" s="14" t="s">
        <v>39</v>
      </c>
      <c r="B14" s="65" t="str">
        <f t="shared" si="0"/>
        <v>US</v>
      </c>
      <c r="C14" s="16" t="str">
        <f t="shared" si="1"/>
        <v>vin diesel</v>
      </c>
      <c r="D14" s="16" t="str">
        <f t="shared" si="2"/>
        <v>iphone</v>
      </c>
      <c r="E14" s="16" t="str">
        <f t="shared" si="3"/>
        <v>cpi</v>
      </c>
      <c r="F14" s="16" t="str">
        <f t="shared" si="4"/>
        <v>20140415-1000-932</v>
      </c>
    </row>
    <row r="15" spans="1:6" x14ac:dyDescent="0.35">
      <c r="A15" s="14" t="s">
        <v>40</v>
      </c>
      <c r="B15" s="65" t="str">
        <f t="shared" si="0"/>
        <v>US</v>
      </c>
      <c r="C15" s="16" t="str">
        <f t="shared" si="1"/>
        <v>starbucks</v>
      </c>
      <c r="D15" s="16" t="str">
        <f t="shared" si="2"/>
        <v>ipad</v>
      </c>
      <c r="E15" s="16" t="str">
        <f t="shared" si="3"/>
        <v>cpi</v>
      </c>
      <c r="F15" s="16" t="str">
        <f t="shared" si="4"/>
        <v>20140415-1000-492</v>
      </c>
    </row>
    <row r="16" spans="1:6" x14ac:dyDescent="0.35">
      <c r="A16" s="14" t="s">
        <v>41</v>
      </c>
      <c r="B16" s="65" t="str">
        <f t="shared" si="0"/>
        <v>US</v>
      </c>
      <c r="C16" s="16" t="str">
        <f t="shared" si="1"/>
        <v>how i met your mother</v>
      </c>
      <c r="D16" s="16" t="str">
        <f t="shared" si="2"/>
        <v>ipad</v>
      </c>
      <c r="E16" s="16" t="str">
        <f t="shared" si="3"/>
        <v>cpi</v>
      </c>
      <c r="F16" s="16" t="str">
        <f t="shared" si="4"/>
        <v>20140415-1000-997</v>
      </c>
    </row>
    <row r="17" spans="1:6" x14ac:dyDescent="0.35">
      <c r="A17" s="14" t="s">
        <v>42</v>
      </c>
      <c r="B17" s="65" t="str">
        <f t="shared" si="0"/>
        <v>AU</v>
      </c>
      <c r="C17" s="16" t="str">
        <f t="shared" si="1"/>
        <v>david beckham</v>
      </c>
      <c r="D17" s="16" t="str">
        <f t="shared" si="2"/>
        <v>ipad</v>
      </c>
      <c r="E17" s="16" t="str">
        <f t="shared" si="3"/>
        <v>cpi</v>
      </c>
      <c r="F17" s="16" t="str">
        <f t="shared" si="4"/>
        <v>20140415-1000-670</v>
      </c>
    </row>
    <row r="18" spans="1:6" x14ac:dyDescent="0.35">
      <c r="A18" s="14" t="s">
        <v>43</v>
      </c>
      <c r="B18" s="65" t="str">
        <f t="shared" si="0"/>
        <v>CA</v>
      </c>
      <c r="C18" s="16" t="str">
        <f t="shared" si="1"/>
        <v>the office</v>
      </c>
      <c r="D18" s="16" t="str">
        <f t="shared" si="2"/>
        <v>iphone</v>
      </c>
      <c r="E18" s="16" t="str">
        <f t="shared" si="3"/>
        <v>cpi</v>
      </c>
      <c r="F18" s="16" t="str">
        <f t="shared" si="4"/>
        <v>20140415-1000-657</v>
      </c>
    </row>
    <row r="19" spans="1:6" x14ac:dyDescent="0.35">
      <c r="A19" s="14" t="s">
        <v>44</v>
      </c>
      <c r="B19" s="65" t="str">
        <f t="shared" si="0"/>
        <v>CA</v>
      </c>
      <c r="C19" s="16" t="str">
        <f t="shared" si="1"/>
        <v>dr pepper</v>
      </c>
      <c r="D19" s="16" t="str">
        <f t="shared" si="2"/>
        <v>iphone</v>
      </c>
      <c r="E19" s="16" t="str">
        <f t="shared" si="3"/>
        <v>cpi</v>
      </c>
      <c r="F19" s="16" t="str">
        <f t="shared" si="4"/>
        <v>20140415-1000-458</v>
      </c>
    </row>
    <row r="20" spans="1:6" x14ac:dyDescent="0.35">
      <c r="A20" s="14" t="s">
        <v>45</v>
      </c>
      <c r="B20" s="65" t="str">
        <f t="shared" si="0"/>
        <v>US</v>
      </c>
      <c r="C20" s="16" t="str">
        <f t="shared" si="1"/>
        <v>baseball</v>
      </c>
      <c r="D20" s="16" t="str">
        <f t="shared" si="2"/>
        <v>ipad</v>
      </c>
      <c r="E20" s="16" t="str">
        <f t="shared" si="3"/>
        <v>cpi</v>
      </c>
      <c r="F20" s="16" t="str">
        <f t="shared" si="4"/>
        <v>20140415-1000-1000</v>
      </c>
    </row>
    <row r="21" spans="1:6" x14ac:dyDescent="0.35">
      <c r="A21" s="14" t="s">
        <v>46</v>
      </c>
      <c r="B21" s="65" t="str">
        <f t="shared" si="0"/>
        <v>TH</v>
      </c>
      <c r="C21" s="16" t="str">
        <f t="shared" si="1"/>
        <v>nirvana</v>
      </c>
      <c r="D21" s="16" t="str">
        <f t="shared" si="2"/>
        <v>ipad</v>
      </c>
      <c r="E21" s="16" t="str">
        <f t="shared" si="3"/>
        <v>cpi</v>
      </c>
      <c r="F21" s="16" t="str">
        <f t="shared" si="4"/>
        <v>20140415-1000-688</v>
      </c>
    </row>
  </sheetData>
  <mergeCells count="1">
    <mergeCell ref="A1:E4"/>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J346"/>
  <sheetViews>
    <sheetView workbookViewId="0">
      <selection activeCell="F8" sqref="F8"/>
    </sheetView>
  </sheetViews>
  <sheetFormatPr defaultColWidth="8.81640625" defaultRowHeight="14.5" x14ac:dyDescent="0.35"/>
  <cols>
    <col min="5" max="5" width="38.453125" bestFit="1" customWidth="1"/>
    <col min="6" max="6" width="54.81640625" customWidth="1"/>
  </cols>
  <sheetData>
    <row r="2" spans="1:10" ht="15" customHeight="1" x14ac:dyDescent="0.35">
      <c r="A2" s="58" t="s">
        <v>396</v>
      </c>
      <c r="B2" s="58"/>
      <c r="C2" s="58"/>
      <c r="D2" s="58"/>
      <c r="E2" s="58"/>
      <c r="F2" s="58"/>
    </row>
    <row r="3" spans="1:10" x14ac:dyDescent="0.35">
      <c r="A3" s="58"/>
      <c r="B3" s="58"/>
      <c r="C3" s="58"/>
      <c r="D3" s="58"/>
      <c r="E3" s="58"/>
      <c r="F3" s="58"/>
    </row>
    <row r="5" spans="1:10" x14ac:dyDescent="0.35">
      <c r="A5">
        <v>95524</v>
      </c>
    </row>
    <row r="6" spans="1:10" x14ac:dyDescent="0.35">
      <c r="A6">
        <v>98592</v>
      </c>
      <c r="E6" s="15" t="s">
        <v>29</v>
      </c>
      <c r="F6" s="49" t="s">
        <v>436</v>
      </c>
    </row>
    <row r="7" spans="1:10" x14ac:dyDescent="0.35">
      <c r="A7">
        <v>50192</v>
      </c>
    </row>
    <row r="8" spans="1:10" x14ac:dyDescent="0.35">
      <c r="A8">
        <v>78738</v>
      </c>
      <c r="E8" s="15" t="s">
        <v>30</v>
      </c>
      <c r="F8" s="26">
        <v>45247</v>
      </c>
    </row>
    <row r="9" spans="1:10" x14ac:dyDescent="0.35">
      <c r="A9">
        <v>29048</v>
      </c>
    </row>
    <row r="10" spans="1:10" x14ac:dyDescent="0.35">
      <c r="A10">
        <v>99756</v>
      </c>
      <c r="E10" s="15" t="s">
        <v>31</v>
      </c>
      <c r="F10" s="61" t="s">
        <v>433</v>
      </c>
      <c r="G10" s="61"/>
      <c r="H10" s="61"/>
      <c r="I10" s="61"/>
      <c r="J10" s="61"/>
    </row>
    <row r="11" spans="1:10" x14ac:dyDescent="0.35">
      <c r="A11">
        <v>72233</v>
      </c>
      <c r="F11" s="61"/>
      <c r="G11" s="61"/>
      <c r="H11" s="61"/>
      <c r="I11" s="61"/>
      <c r="J11" s="61"/>
    </row>
    <row r="12" spans="1:10" x14ac:dyDescent="0.35">
      <c r="A12">
        <v>64054</v>
      </c>
      <c r="E12" s="15"/>
      <c r="F12" s="61"/>
      <c r="G12" s="61"/>
      <c r="H12" s="61"/>
      <c r="I12" s="61"/>
      <c r="J12" s="61"/>
    </row>
    <row r="13" spans="1:10" x14ac:dyDescent="0.35">
      <c r="A13">
        <v>71762</v>
      </c>
      <c r="F13" s="61"/>
      <c r="G13" s="61"/>
      <c r="H13" s="61"/>
      <c r="I13" s="61"/>
      <c r="J13" s="61"/>
    </row>
    <row r="14" spans="1:10" x14ac:dyDescent="0.35">
      <c r="A14">
        <v>29601</v>
      </c>
      <c r="F14" s="61"/>
      <c r="G14" s="61"/>
      <c r="H14" s="61"/>
      <c r="I14" s="61"/>
      <c r="J14" s="61"/>
    </row>
    <row r="15" spans="1:10" x14ac:dyDescent="0.35">
      <c r="A15">
        <v>37715</v>
      </c>
      <c r="F15" s="61"/>
      <c r="G15" s="61"/>
      <c r="H15" s="61"/>
      <c r="I15" s="61"/>
      <c r="J15" s="61"/>
    </row>
    <row r="16" spans="1:10" x14ac:dyDescent="0.35">
      <c r="A16">
        <v>9500</v>
      </c>
      <c r="F16" s="61"/>
      <c r="G16" s="61"/>
      <c r="H16" s="61"/>
      <c r="I16" s="61"/>
      <c r="J16" s="61"/>
    </row>
    <row r="17" spans="1:1" x14ac:dyDescent="0.35">
      <c r="A17">
        <v>96525</v>
      </c>
    </row>
    <row r="18" spans="1:1" x14ac:dyDescent="0.35">
      <c r="A18">
        <v>11061</v>
      </c>
    </row>
    <row r="19" spans="1:1" x14ac:dyDescent="0.35">
      <c r="A19">
        <v>15973</v>
      </c>
    </row>
    <row r="20" spans="1:1" x14ac:dyDescent="0.35">
      <c r="A20">
        <v>98670</v>
      </c>
    </row>
    <row r="21" spans="1:1" x14ac:dyDescent="0.35">
      <c r="A21">
        <v>28103</v>
      </c>
    </row>
    <row r="22" spans="1:1" x14ac:dyDescent="0.35">
      <c r="A22">
        <v>92575</v>
      </c>
    </row>
    <row r="23" spans="1:1" x14ac:dyDescent="0.35">
      <c r="A23">
        <v>67172</v>
      </c>
    </row>
    <row r="24" spans="1:1" x14ac:dyDescent="0.35">
      <c r="A24">
        <v>4908</v>
      </c>
    </row>
    <row r="25" spans="1:1" x14ac:dyDescent="0.35">
      <c r="A25">
        <v>39627</v>
      </c>
    </row>
    <row r="26" spans="1:1" x14ac:dyDescent="0.35">
      <c r="A26">
        <v>81992</v>
      </c>
    </row>
    <row r="27" spans="1:1" x14ac:dyDescent="0.35">
      <c r="A27">
        <v>62821</v>
      </c>
    </row>
    <row r="28" spans="1:1" x14ac:dyDescent="0.35">
      <c r="A28">
        <v>35204</v>
      </c>
    </row>
    <row r="29" spans="1:1" x14ac:dyDescent="0.35">
      <c r="A29">
        <v>98796</v>
      </c>
    </row>
    <row r="30" spans="1:1" x14ac:dyDescent="0.35">
      <c r="A30">
        <v>28319</v>
      </c>
    </row>
    <row r="31" spans="1:1" x14ac:dyDescent="0.35">
      <c r="A31">
        <v>98214</v>
      </c>
    </row>
    <row r="32" spans="1:1" x14ac:dyDescent="0.35">
      <c r="A32">
        <v>84280</v>
      </c>
    </row>
    <row r="33" spans="1:1" x14ac:dyDescent="0.35">
      <c r="A33">
        <v>82339</v>
      </c>
    </row>
    <row r="34" spans="1:1" x14ac:dyDescent="0.35">
      <c r="A34">
        <v>39064</v>
      </c>
    </row>
    <row r="35" spans="1:1" x14ac:dyDescent="0.35">
      <c r="A35">
        <v>26820</v>
      </c>
    </row>
    <row r="36" spans="1:1" x14ac:dyDescent="0.35">
      <c r="A36">
        <v>79942</v>
      </c>
    </row>
    <row r="37" spans="1:1" x14ac:dyDescent="0.35">
      <c r="A37">
        <v>44092</v>
      </c>
    </row>
    <row r="38" spans="1:1" x14ac:dyDescent="0.35">
      <c r="A38">
        <v>69258</v>
      </c>
    </row>
    <row r="39" spans="1:1" x14ac:dyDescent="0.35">
      <c r="A39">
        <v>35230</v>
      </c>
    </row>
    <row r="40" spans="1:1" x14ac:dyDescent="0.35">
      <c r="A40">
        <v>55949</v>
      </c>
    </row>
    <row r="41" spans="1:1" x14ac:dyDescent="0.35">
      <c r="A41">
        <v>23965</v>
      </c>
    </row>
    <row r="42" spans="1:1" x14ac:dyDescent="0.35">
      <c r="A42">
        <v>69071</v>
      </c>
    </row>
    <row r="43" spans="1:1" x14ac:dyDescent="0.35">
      <c r="A43">
        <v>15017</v>
      </c>
    </row>
    <row r="44" spans="1:1" x14ac:dyDescent="0.35">
      <c r="A44">
        <v>69313</v>
      </c>
    </row>
    <row r="45" spans="1:1" x14ac:dyDescent="0.35">
      <c r="A45">
        <v>11978</v>
      </c>
    </row>
    <row r="46" spans="1:1" x14ac:dyDescent="0.35">
      <c r="A46">
        <v>33935</v>
      </c>
    </row>
    <row r="47" spans="1:1" x14ac:dyDescent="0.35">
      <c r="A47">
        <v>99418</v>
      </c>
    </row>
    <row r="48" spans="1:1" x14ac:dyDescent="0.35">
      <c r="A48">
        <v>13830</v>
      </c>
    </row>
    <row r="49" spans="1:1" x14ac:dyDescent="0.35">
      <c r="A49">
        <v>90964</v>
      </c>
    </row>
    <row r="50" spans="1:1" x14ac:dyDescent="0.35">
      <c r="A50">
        <v>44182</v>
      </c>
    </row>
    <row r="51" spans="1:1" x14ac:dyDescent="0.35">
      <c r="A51">
        <v>27708</v>
      </c>
    </row>
    <row r="52" spans="1:1" x14ac:dyDescent="0.35">
      <c r="A52">
        <v>88995</v>
      </c>
    </row>
    <row r="53" spans="1:1" x14ac:dyDescent="0.35">
      <c r="A53">
        <v>7418</v>
      </c>
    </row>
    <row r="54" spans="1:1" x14ac:dyDescent="0.35">
      <c r="A54">
        <v>33621</v>
      </c>
    </row>
    <row r="55" spans="1:1" x14ac:dyDescent="0.35">
      <c r="A55">
        <v>77240</v>
      </c>
    </row>
    <row r="56" spans="1:1" x14ac:dyDescent="0.35">
      <c r="A56">
        <v>54525</v>
      </c>
    </row>
    <row r="57" spans="1:1" x14ac:dyDescent="0.35">
      <c r="A57">
        <v>27958</v>
      </c>
    </row>
    <row r="58" spans="1:1" x14ac:dyDescent="0.35">
      <c r="A58">
        <v>87122</v>
      </c>
    </row>
    <row r="59" spans="1:1" x14ac:dyDescent="0.35">
      <c r="A59">
        <v>91534</v>
      </c>
    </row>
    <row r="60" spans="1:1" x14ac:dyDescent="0.35">
      <c r="A60">
        <v>58183</v>
      </c>
    </row>
    <row r="61" spans="1:1" x14ac:dyDescent="0.35">
      <c r="A61">
        <v>75533</v>
      </c>
    </row>
    <row r="62" spans="1:1" x14ac:dyDescent="0.35">
      <c r="A62">
        <v>1754</v>
      </c>
    </row>
    <row r="63" spans="1:1" x14ac:dyDescent="0.35">
      <c r="A63">
        <v>70407</v>
      </c>
    </row>
    <row r="64" spans="1:1" x14ac:dyDescent="0.35">
      <c r="A64">
        <v>39039</v>
      </c>
    </row>
    <row r="65" spans="1:1" x14ac:dyDescent="0.35">
      <c r="A65">
        <v>91453</v>
      </c>
    </row>
    <row r="66" spans="1:1" x14ac:dyDescent="0.35">
      <c r="A66">
        <v>70993</v>
      </c>
    </row>
    <row r="67" spans="1:1" x14ac:dyDescent="0.35">
      <c r="A67">
        <v>25907</v>
      </c>
    </row>
    <row r="68" spans="1:1" x14ac:dyDescent="0.35">
      <c r="A68">
        <v>35834</v>
      </c>
    </row>
    <row r="69" spans="1:1" x14ac:dyDescent="0.35">
      <c r="A69">
        <v>42186</v>
      </c>
    </row>
    <row r="70" spans="1:1" x14ac:dyDescent="0.35">
      <c r="A70">
        <v>52484</v>
      </c>
    </row>
    <row r="71" spans="1:1" x14ac:dyDescent="0.35">
      <c r="A71">
        <v>99153</v>
      </c>
    </row>
    <row r="72" spans="1:1" x14ac:dyDescent="0.35">
      <c r="A72">
        <v>31750</v>
      </c>
    </row>
    <row r="73" spans="1:1" x14ac:dyDescent="0.35">
      <c r="A73">
        <v>21879</v>
      </c>
    </row>
    <row r="74" spans="1:1" x14ac:dyDescent="0.35">
      <c r="A74">
        <v>61086</v>
      </c>
    </row>
    <row r="75" spans="1:1" x14ac:dyDescent="0.35">
      <c r="A75">
        <v>15167</v>
      </c>
    </row>
    <row r="76" spans="1:1" x14ac:dyDescent="0.35">
      <c r="A76">
        <v>99628</v>
      </c>
    </row>
    <row r="77" spans="1:1" x14ac:dyDescent="0.35">
      <c r="A77">
        <v>93859</v>
      </c>
    </row>
    <row r="78" spans="1:1" x14ac:dyDescent="0.35">
      <c r="A78">
        <v>51861</v>
      </c>
    </row>
    <row r="79" spans="1:1" x14ac:dyDescent="0.35">
      <c r="A79">
        <v>17359</v>
      </c>
    </row>
    <row r="80" spans="1:1" x14ac:dyDescent="0.35">
      <c r="A80">
        <v>97767</v>
      </c>
    </row>
    <row r="81" spans="1:1" x14ac:dyDescent="0.35">
      <c r="A81">
        <v>30413</v>
      </c>
    </row>
    <row r="82" spans="1:1" x14ac:dyDescent="0.35">
      <c r="A82">
        <v>32304</v>
      </c>
    </row>
    <row r="83" spans="1:1" x14ac:dyDescent="0.35">
      <c r="A83">
        <v>13992</v>
      </c>
    </row>
    <row r="84" spans="1:1" x14ac:dyDescent="0.35">
      <c r="A84">
        <v>30891</v>
      </c>
    </row>
    <row r="85" spans="1:1" x14ac:dyDescent="0.35">
      <c r="A85">
        <v>77714</v>
      </c>
    </row>
    <row r="86" spans="1:1" x14ac:dyDescent="0.35">
      <c r="A86">
        <v>64307</v>
      </c>
    </row>
    <row r="87" spans="1:1" x14ac:dyDescent="0.35">
      <c r="A87">
        <v>47985</v>
      </c>
    </row>
    <row r="88" spans="1:1" x14ac:dyDescent="0.35">
      <c r="A88">
        <v>46902</v>
      </c>
    </row>
    <row r="89" spans="1:1" x14ac:dyDescent="0.35">
      <c r="A89">
        <v>59042</v>
      </c>
    </row>
    <row r="90" spans="1:1" x14ac:dyDescent="0.35">
      <c r="A90">
        <v>79676</v>
      </c>
    </row>
    <row r="91" spans="1:1" x14ac:dyDescent="0.35">
      <c r="A91">
        <v>26589</v>
      </c>
    </row>
    <row r="92" spans="1:1" x14ac:dyDescent="0.35">
      <c r="A92">
        <v>1118</v>
      </c>
    </row>
    <row r="93" spans="1:1" x14ac:dyDescent="0.35">
      <c r="A93">
        <v>39727</v>
      </c>
    </row>
    <row r="94" spans="1:1" x14ac:dyDescent="0.35">
      <c r="A94">
        <v>32981</v>
      </c>
    </row>
    <row r="95" spans="1:1" x14ac:dyDescent="0.35">
      <c r="A95">
        <v>96300</v>
      </c>
    </row>
    <row r="96" spans="1:1" x14ac:dyDescent="0.35">
      <c r="A96">
        <v>57096</v>
      </c>
    </row>
    <row r="97" spans="1:1" x14ac:dyDescent="0.35">
      <c r="A97">
        <v>35089</v>
      </c>
    </row>
    <row r="98" spans="1:1" x14ac:dyDescent="0.35">
      <c r="A98">
        <v>30256</v>
      </c>
    </row>
    <row r="99" spans="1:1" x14ac:dyDescent="0.35">
      <c r="A99">
        <v>40464</v>
      </c>
    </row>
    <row r="100" spans="1:1" x14ac:dyDescent="0.35">
      <c r="A100">
        <v>10924</v>
      </c>
    </row>
    <row r="101" spans="1:1" x14ac:dyDescent="0.35">
      <c r="A101">
        <v>13212</v>
      </c>
    </row>
    <row r="102" spans="1:1" x14ac:dyDescent="0.35">
      <c r="A102">
        <v>56181</v>
      </c>
    </row>
    <row r="103" spans="1:1" x14ac:dyDescent="0.35">
      <c r="A103">
        <v>96116</v>
      </c>
    </row>
    <row r="104" spans="1:1" x14ac:dyDescent="0.35">
      <c r="A104">
        <v>71736</v>
      </c>
    </row>
    <row r="105" spans="1:1" x14ac:dyDescent="0.35">
      <c r="A105">
        <v>52147</v>
      </c>
    </row>
    <row r="106" spans="1:1" x14ac:dyDescent="0.35">
      <c r="A106">
        <v>42177</v>
      </c>
    </row>
    <row r="107" spans="1:1" x14ac:dyDescent="0.35">
      <c r="A107">
        <v>83887</v>
      </c>
    </row>
    <row r="108" spans="1:1" x14ac:dyDescent="0.35">
      <c r="A108">
        <v>39458</v>
      </c>
    </row>
    <row r="109" spans="1:1" x14ac:dyDescent="0.35">
      <c r="A109">
        <v>3482</v>
      </c>
    </row>
    <row r="110" spans="1:1" x14ac:dyDescent="0.35">
      <c r="A110">
        <v>34668</v>
      </c>
    </row>
    <row r="111" spans="1:1" x14ac:dyDescent="0.35">
      <c r="A111">
        <v>64341</v>
      </c>
    </row>
    <row r="112" spans="1:1" x14ac:dyDescent="0.35">
      <c r="A112">
        <v>84948</v>
      </c>
    </row>
    <row r="113" spans="1:1" x14ac:dyDescent="0.35">
      <c r="A113">
        <v>80875</v>
      </c>
    </row>
    <row r="114" spans="1:1" x14ac:dyDescent="0.35">
      <c r="A114">
        <v>38073</v>
      </c>
    </row>
    <row r="115" spans="1:1" x14ac:dyDescent="0.35">
      <c r="A115">
        <v>10003</v>
      </c>
    </row>
    <row r="116" spans="1:1" x14ac:dyDescent="0.35">
      <c r="A116">
        <v>5190</v>
      </c>
    </row>
    <row r="117" spans="1:1" x14ac:dyDescent="0.35">
      <c r="A117">
        <v>49920</v>
      </c>
    </row>
    <row r="118" spans="1:1" x14ac:dyDescent="0.35">
      <c r="A118">
        <v>26250</v>
      </c>
    </row>
    <row r="119" spans="1:1" x14ac:dyDescent="0.35">
      <c r="A119">
        <v>1733</v>
      </c>
    </row>
    <row r="120" spans="1:1" x14ac:dyDescent="0.35">
      <c r="A120">
        <v>47738</v>
      </c>
    </row>
    <row r="121" spans="1:1" x14ac:dyDescent="0.35">
      <c r="A121">
        <v>74497</v>
      </c>
    </row>
    <row r="122" spans="1:1" x14ac:dyDescent="0.35">
      <c r="A122">
        <v>24580</v>
      </c>
    </row>
    <row r="123" spans="1:1" x14ac:dyDescent="0.35">
      <c r="A123">
        <v>98896</v>
      </c>
    </row>
    <row r="124" spans="1:1" x14ac:dyDescent="0.35">
      <c r="A124">
        <v>50342</v>
      </c>
    </row>
    <row r="125" spans="1:1" x14ac:dyDescent="0.35">
      <c r="A125">
        <v>1352</v>
      </c>
    </row>
    <row r="126" spans="1:1" x14ac:dyDescent="0.35">
      <c r="A126">
        <v>55247</v>
      </c>
    </row>
    <row r="127" spans="1:1" x14ac:dyDescent="0.35">
      <c r="A127">
        <v>53069</v>
      </c>
    </row>
    <row r="128" spans="1:1" x14ac:dyDescent="0.35">
      <c r="A128">
        <v>56634</v>
      </c>
    </row>
    <row r="129" spans="1:1" x14ac:dyDescent="0.35">
      <c r="A129">
        <v>51365</v>
      </c>
    </row>
    <row r="130" spans="1:1" x14ac:dyDescent="0.35">
      <c r="A130">
        <v>27812</v>
      </c>
    </row>
    <row r="131" spans="1:1" x14ac:dyDescent="0.35">
      <c r="A131">
        <v>45253</v>
      </c>
    </row>
    <row r="132" spans="1:1" x14ac:dyDescent="0.35">
      <c r="A132">
        <v>7457</v>
      </c>
    </row>
    <row r="133" spans="1:1" x14ac:dyDescent="0.35">
      <c r="A133">
        <v>31105</v>
      </c>
    </row>
    <row r="134" spans="1:1" x14ac:dyDescent="0.35">
      <c r="A134">
        <v>89311</v>
      </c>
    </row>
    <row r="135" spans="1:1" x14ac:dyDescent="0.35">
      <c r="A135">
        <v>25271</v>
      </c>
    </row>
    <row r="136" spans="1:1" x14ac:dyDescent="0.35">
      <c r="A136">
        <v>90496</v>
      </c>
    </row>
    <row r="137" spans="1:1" x14ac:dyDescent="0.35">
      <c r="A137">
        <v>9977</v>
      </c>
    </row>
    <row r="138" spans="1:1" x14ac:dyDescent="0.35">
      <c r="A138">
        <v>68886</v>
      </c>
    </row>
    <row r="139" spans="1:1" x14ac:dyDescent="0.35">
      <c r="A139">
        <v>34163</v>
      </c>
    </row>
    <row r="140" spans="1:1" x14ac:dyDescent="0.35">
      <c r="A140">
        <v>79563</v>
      </c>
    </row>
    <row r="141" spans="1:1" x14ac:dyDescent="0.35">
      <c r="A141">
        <v>55910</v>
      </c>
    </row>
    <row r="142" spans="1:1" x14ac:dyDescent="0.35">
      <c r="A142">
        <v>71429</v>
      </c>
    </row>
    <row r="143" spans="1:1" x14ac:dyDescent="0.35">
      <c r="A143">
        <v>68103</v>
      </c>
    </row>
    <row r="144" spans="1:1" x14ac:dyDescent="0.35">
      <c r="A144">
        <v>45247</v>
      </c>
    </row>
    <row r="145" spans="1:1" x14ac:dyDescent="0.35">
      <c r="A145">
        <v>73395</v>
      </c>
    </row>
    <row r="146" spans="1:1" x14ac:dyDescent="0.35">
      <c r="A146">
        <v>63560</v>
      </c>
    </row>
    <row r="147" spans="1:1" x14ac:dyDescent="0.35">
      <c r="A147">
        <v>43701</v>
      </c>
    </row>
    <row r="148" spans="1:1" x14ac:dyDescent="0.35">
      <c r="A148">
        <v>21531</v>
      </c>
    </row>
    <row r="149" spans="1:1" x14ac:dyDescent="0.35">
      <c r="A149">
        <v>95874</v>
      </c>
    </row>
    <row r="150" spans="1:1" x14ac:dyDescent="0.35">
      <c r="A150">
        <v>60479</v>
      </c>
    </row>
    <row r="151" spans="1:1" x14ac:dyDescent="0.35">
      <c r="A151">
        <v>66641</v>
      </c>
    </row>
    <row r="152" spans="1:1" x14ac:dyDescent="0.35">
      <c r="A152">
        <v>32944</v>
      </c>
    </row>
    <row r="153" spans="1:1" x14ac:dyDescent="0.35">
      <c r="A153">
        <v>53483</v>
      </c>
    </row>
    <row r="154" spans="1:1" x14ac:dyDescent="0.35">
      <c r="A154">
        <v>59521</v>
      </c>
    </row>
    <row r="155" spans="1:1" x14ac:dyDescent="0.35">
      <c r="A155">
        <v>56347</v>
      </c>
    </row>
    <row r="156" spans="1:1" x14ac:dyDescent="0.35">
      <c r="A156">
        <v>28473</v>
      </c>
    </row>
    <row r="157" spans="1:1" x14ac:dyDescent="0.35">
      <c r="A157">
        <v>41537</v>
      </c>
    </row>
    <row r="158" spans="1:1" x14ac:dyDescent="0.35">
      <c r="A158">
        <v>1106</v>
      </c>
    </row>
    <row r="159" spans="1:1" x14ac:dyDescent="0.35">
      <c r="A159">
        <v>4832</v>
      </c>
    </row>
    <row r="160" spans="1:1" x14ac:dyDescent="0.35">
      <c r="A160">
        <v>39381</v>
      </c>
    </row>
    <row r="161" spans="1:1" x14ac:dyDescent="0.35">
      <c r="A161">
        <v>9744</v>
      </c>
    </row>
    <row r="162" spans="1:1" x14ac:dyDescent="0.35">
      <c r="A162">
        <v>95332</v>
      </c>
    </row>
    <row r="163" spans="1:1" x14ac:dyDescent="0.35">
      <c r="A163">
        <v>19820</v>
      </c>
    </row>
    <row r="164" spans="1:1" x14ac:dyDescent="0.35">
      <c r="A164">
        <v>4396</v>
      </c>
    </row>
    <row r="165" spans="1:1" x14ac:dyDescent="0.35">
      <c r="A165">
        <v>49071</v>
      </c>
    </row>
    <row r="166" spans="1:1" x14ac:dyDescent="0.35">
      <c r="A166">
        <v>74718</v>
      </c>
    </row>
    <row r="167" spans="1:1" x14ac:dyDescent="0.35">
      <c r="A167">
        <v>87580</v>
      </c>
    </row>
    <row r="168" spans="1:1" x14ac:dyDescent="0.35">
      <c r="A168">
        <v>98149</v>
      </c>
    </row>
    <row r="169" spans="1:1" x14ac:dyDescent="0.35">
      <c r="A169">
        <v>1818</v>
      </c>
    </row>
    <row r="170" spans="1:1" x14ac:dyDescent="0.35">
      <c r="A170">
        <v>67423</v>
      </c>
    </row>
    <row r="171" spans="1:1" x14ac:dyDescent="0.35">
      <c r="A171">
        <v>50279</v>
      </c>
    </row>
    <row r="172" spans="1:1" x14ac:dyDescent="0.35">
      <c r="A172">
        <v>36671</v>
      </c>
    </row>
    <row r="173" spans="1:1" x14ac:dyDescent="0.35">
      <c r="A173">
        <v>92091</v>
      </c>
    </row>
    <row r="174" spans="1:1" x14ac:dyDescent="0.35">
      <c r="A174">
        <v>61553</v>
      </c>
    </row>
    <row r="175" spans="1:1" x14ac:dyDescent="0.35">
      <c r="A175">
        <v>728</v>
      </c>
    </row>
    <row r="176" spans="1:1" x14ac:dyDescent="0.35">
      <c r="A176">
        <v>78935</v>
      </c>
    </row>
    <row r="177" spans="1:1" x14ac:dyDescent="0.35">
      <c r="A177">
        <v>71791</v>
      </c>
    </row>
    <row r="178" spans="1:1" x14ac:dyDescent="0.35">
      <c r="A178">
        <v>98707</v>
      </c>
    </row>
    <row r="179" spans="1:1" x14ac:dyDescent="0.35">
      <c r="A179">
        <v>64092</v>
      </c>
    </row>
    <row r="180" spans="1:1" x14ac:dyDescent="0.35">
      <c r="A180">
        <v>98332</v>
      </c>
    </row>
    <row r="181" spans="1:1" x14ac:dyDescent="0.35">
      <c r="A181">
        <v>45585</v>
      </c>
    </row>
    <row r="182" spans="1:1" x14ac:dyDescent="0.35">
      <c r="A182">
        <v>24906</v>
      </c>
    </row>
    <row r="183" spans="1:1" x14ac:dyDescent="0.35">
      <c r="A183">
        <v>58136</v>
      </c>
    </row>
    <row r="184" spans="1:1" x14ac:dyDescent="0.35">
      <c r="A184">
        <v>43667</v>
      </c>
    </row>
    <row r="185" spans="1:1" x14ac:dyDescent="0.35">
      <c r="A185">
        <v>63492</v>
      </c>
    </row>
    <row r="186" spans="1:1" x14ac:dyDescent="0.35">
      <c r="A186">
        <v>10155</v>
      </c>
    </row>
    <row r="187" spans="1:1" x14ac:dyDescent="0.35">
      <c r="A187">
        <v>94114</v>
      </c>
    </row>
    <row r="188" spans="1:1" x14ac:dyDescent="0.35">
      <c r="A188">
        <v>21544</v>
      </c>
    </row>
    <row r="189" spans="1:1" x14ac:dyDescent="0.35">
      <c r="A189">
        <v>92440</v>
      </c>
    </row>
    <row r="190" spans="1:1" x14ac:dyDescent="0.35">
      <c r="A190">
        <v>27597</v>
      </c>
    </row>
    <row r="191" spans="1:1" x14ac:dyDescent="0.35">
      <c r="A191">
        <v>11488</v>
      </c>
    </row>
    <row r="192" spans="1:1" x14ac:dyDescent="0.35">
      <c r="A192">
        <v>12649</v>
      </c>
    </row>
    <row r="193" spans="1:1" x14ac:dyDescent="0.35">
      <c r="A193">
        <v>75720</v>
      </c>
    </row>
    <row r="194" spans="1:1" x14ac:dyDescent="0.35">
      <c r="A194">
        <v>46258</v>
      </c>
    </row>
    <row r="195" spans="1:1" x14ac:dyDescent="0.35">
      <c r="A195">
        <v>52610</v>
      </c>
    </row>
    <row r="196" spans="1:1" x14ac:dyDescent="0.35">
      <c r="A196">
        <v>81844</v>
      </c>
    </row>
    <row r="197" spans="1:1" x14ac:dyDescent="0.35">
      <c r="A197">
        <v>90810</v>
      </c>
    </row>
    <row r="198" spans="1:1" x14ac:dyDescent="0.35">
      <c r="A198">
        <v>13617</v>
      </c>
    </row>
    <row r="199" spans="1:1" x14ac:dyDescent="0.35">
      <c r="A199">
        <v>49771</v>
      </c>
    </row>
    <row r="200" spans="1:1" x14ac:dyDescent="0.35">
      <c r="A200">
        <v>93258</v>
      </c>
    </row>
    <row r="201" spans="1:1" x14ac:dyDescent="0.35">
      <c r="A201">
        <v>63630</v>
      </c>
    </row>
    <row r="202" spans="1:1" x14ac:dyDescent="0.35">
      <c r="A202">
        <v>69044</v>
      </c>
    </row>
    <row r="203" spans="1:1" x14ac:dyDescent="0.35">
      <c r="A203">
        <v>7123</v>
      </c>
    </row>
    <row r="204" spans="1:1" x14ac:dyDescent="0.35">
      <c r="A204">
        <v>97562</v>
      </c>
    </row>
    <row r="205" spans="1:1" x14ac:dyDescent="0.35">
      <c r="A205">
        <v>91629</v>
      </c>
    </row>
    <row r="206" spans="1:1" x14ac:dyDescent="0.35">
      <c r="A206">
        <v>12574</v>
      </c>
    </row>
    <row r="207" spans="1:1" x14ac:dyDescent="0.35">
      <c r="A207">
        <v>11198</v>
      </c>
    </row>
    <row r="208" spans="1:1" x14ac:dyDescent="0.35">
      <c r="A208">
        <v>23113</v>
      </c>
    </row>
    <row r="209" spans="1:1" x14ac:dyDescent="0.35">
      <c r="A209">
        <v>53285</v>
      </c>
    </row>
    <row r="210" spans="1:1" x14ac:dyDescent="0.35">
      <c r="A210">
        <v>23474</v>
      </c>
    </row>
    <row r="211" spans="1:1" x14ac:dyDescent="0.35">
      <c r="A211">
        <v>36786</v>
      </c>
    </row>
    <row r="212" spans="1:1" x14ac:dyDescent="0.35">
      <c r="A212">
        <v>23059</v>
      </c>
    </row>
    <row r="213" spans="1:1" x14ac:dyDescent="0.35">
      <c r="A213">
        <v>84761</v>
      </c>
    </row>
    <row r="214" spans="1:1" x14ac:dyDescent="0.35">
      <c r="A214">
        <v>15811</v>
      </c>
    </row>
    <row r="215" spans="1:1" x14ac:dyDescent="0.35">
      <c r="A215">
        <v>74692</v>
      </c>
    </row>
    <row r="216" spans="1:1" x14ac:dyDescent="0.35">
      <c r="A216">
        <v>56310</v>
      </c>
    </row>
    <row r="217" spans="1:1" x14ac:dyDescent="0.35">
      <c r="A217">
        <v>22605</v>
      </c>
    </row>
    <row r="218" spans="1:1" x14ac:dyDescent="0.35">
      <c r="A218">
        <v>12956</v>
      </c>
    </row>
    <row r="219" spans="1:1" x14ac:dyDescent="0.35">
      <c r="A219">
        <v>32875</v>
      </c>
    </row>
    <row r="220" spans="1:1" x14ac:dyDescent="0.35">
      <c r="A220">
        <v>42594</v>
      </c>
    </row>
    <row r="221" spans="1:1" x14ac:dyDescent="0.35">
      <c r="A221">
        <v>3815</v>
      </c>
    </row>
    <row r="222" spans="1:1" x14ac:dyDescent="0.35">
      <c r="A222">
        <v>14702</v>
      </c>
    </row>
    <row r="223" spans="1:1" x14ac:dyDescent="0.35">
      <c r="A223">
        <v>80629</v>
      </c>
    </row>
    <row r="224" spans="1:1" x14ac:dyDescent="0.35">
      <c r="A224">
        <v>59058</v>
      </c>
    </row>
    <row r="225" spans="1:1" x14ac:dyDescent="0.35">
      <c r="A225">
        <v>37993</v>
      </c>
    </row>
    <row r="226" spans="1:1" x14ac:dyDescent="0.35">
      <c r="A226">
        <v>90153</v>
      </c>
    </row>
    <row r="227" spans="1:1" x14ac:dyDescent="0.35">
      <c r="A227">
        <v>78924</v>
      </c>
    </row>
    <row r="228" spans="1:1" x14ac:dyDescent="0.35">
      <c r="A228">
        <v>62049</v>
      </c>
    </row>
    <row r="229" spans="1:1" x14ac:dyDescent="0.35">
      <c r="A229">
        <v>33972</v>
      </c>
    </row>
    <row r="230" spans="1:1" x14ac:dyDescent="0.35">
      <c r="A230">
        <v>29859</v>
      </c>
    </row>
    <row r="231" spans="1:1" x14ac:dyDescent="0.35">
      <c r="A231">
        <v>4740</v>
      </c>
    </row>
    <row r="232" spans="1:1" x14ac:dyDescent="0.35">
      <c r="A232">
        <v>51061</v>
      </c>
    </row>
    <row r="233" spans="1:1" x14ac:dyDescent="0.35">
      <c r="A233">
        <v>13539</v>
      </c>
    </row>
    <row r="234" spans="1:1" x14ac:dyDescent="0.35">
      <c r="A234">
        <v>60055</v>
      </c>
    </row>
    <row r="235" spans="1:1" x14ac:dyDescent="0.35">
      <c r="A235">
        <v>9406</v>
      </c>
    </row>
    <row r="236" spans="1:1" x14ac:dyDescent="0.35">
      <c r="A236">
        <v>28180</v>
      </c>
    </row>
    <row r="237" spans="1:1" x14ac:dyDescent="0.35">
      <c r="A237">
        <v>11769</v>
      </c>
    </row>
    <row r="238" spans="1:1" x14ac:dyDescent="0.35">
      <c r="A238">
        <v>45247</v>
      </c>
    </row>
    <row r="239" spans="1:1" x14ac:dyDescent="0.35">
      <c r="A239">
        <v>29924</v>
      </c>
    </row>
    <row r="240" spans="1:1" x14ac:dyDescent="0.35">
      <c r="A240">
        <v>99282</v>
      </c>
    </row>
    <row r="241" spans="1:1" x14ac:dyDescent="0.35">
      <c r="A241">
        <v>95416</v>
      </c>
    </row>
    <row r="242" spans="1:1" x14ac:dyDescent="0.35">
      <c r="A242">
        <v>22174</v>
      </c>
    </row>
    <row r="243" spans="1:1" x14ac:dyDescent="0.35">
      <c r="A243">
        <v>92412</v>
      </c>
    </row>
    <row r="244" spans="1:1" x14ac:dyDescent="0.35">
      <c r="A244">
        <v>86570</v>
      </c>
    </row>
    <row r="245" spans="1:1" x14ac:dyDescent="0.35">
      <c r="A245">
        <v>1904</v>
      </c>
    </row>
    <row r="246" spans="1:1" x14ac:dyDescent="0.35">
      <c r="A246">
        <v>19140</v>
      </c>
    </row>
    <row r="247" spans="1:1" x14ac:dyDescent="0.35">
      <c r="A247">
        <v>88452</v>
      </c>
    </row>
    <row r="248" spans="1:1" x14ac:dyDescent="0.35">
      <c r="A248">
        <v>41125</v>
      </c>
    </row>
    <row r="249" spans="1:1" x14ac:dyDescent="0.35">
      <c r="A249">
        <v>7084</v>
      </c>
    </row>
    <row r="250" spans="1:1" x14ac:dyDescent="0.35">
      <c r="A250">
        <v>72322</v>
      </c>
    </row>
    <row r="251" spans="1:1" x14ac:dyDescent="0.35">
      <c r="A251">
        <v>57860</v>
      </c>
    </row>
    <row r="252" spans="1:1" x14ac:dyDescent="0.35">
      <c r="A252">
        <v>48147</v>
      </c>
    </row>
    <row r="253" spans="1:1" x14ac:dyDescent="0.35">
      <c r="A253">
        <v>834</v>
      </c>
    </row>
    <row r="254" spans="1:1" x14ac:dyDescent="0.35">
      <c r="A254">
        <v>58425</v>
      </c>
    </row>
    <row r="255" spans="1:1" x14ac:dyDescent="0.35">
      <c r="A255">
        <v>4541</v>
      </c>
    </row>
    <row r="256" spans="1:1" x14ac:dyDescent="0.35">
      <c r="A256">
        <v>17989</v>
      </c>
    </row>
    <row r="257" spans="1:1" x14ac:dyDescent="0.35">
      <c r="A257">
        <v>14602</v>
      </c>
    </row>
    <row r="258" spans="1:1" x14ac:dyDescent="0.35">
      <c r="A258">
        <v>16624</v>
      </c>
    </row>
    <row r="259" spans="1:1" x14ac:dyDescent="0.35">
      <c r="A259">
        <v>96164</v>
      </c>
    </row>
    <row r="260" spans="1:1" x14ac:dyDescent="0.35">
      <c r="A260">
        <v>17000</v>
      </c>
    </row>
    <row r="261" spans="1:1" x14ac:dyDescent="0.35">
      <c r="A261">
        <v>1592</v>
      </c>
    </row>
    <row r="262" spans="1:1" x14ac:dyDescent="0.35">
      <c r="A262">
        <v>83400</v>
      </c>
    </row>
    <row r="263" spans="1:1" x14ac:dyDescent="0.35">
      <c r="A263">
        <v>69649</v>
      </c>
    </row>
    <row r="264" spans="1:1" x14ac:dyDescent="0.35">
      <c r="A264">
        <v>31329</v>
      </c>
    </row>
    <row r="265" spans="1:1" x14ac:dyDescent="0.35">
      <c r="A265">
        <v>17384</v>
      </c>
    </row>
    <row r="266" spans="1:1" x14ac:dyDescent="0.35">
      <c r="A266">
        <v>55010</v>
      </c>
    </row>
    <row r="267" spans="1:1" x14ac:dyDescent="0.35">
      <c r="A267">
        <v>23068</v>
      </c>
    </row>
    <row r="268" spans="1:1" x14ac:dyDescent="0.35">
      <c r="A268">
        <v>84281</v>
      </c>
    </row>
    <row r="269" spans="1:1" x14ac:dyDescent="0.35">
      <c r="A269">
        <v>89970</v>
      </c>
    </row>
    <row r="270" spans="1:1" x14ac:dyDescent="0.35">
      <c r="A270">
        <v>37263</v>
      </c>
    </row>
    <row r="271" spans="1:1" x14ac:dyDescent="0.35">
      <c r="A271">
        <v>93281</v>
      </c>
    </row>
    <row r="272" spans="1:1" x14ac:dyDescent="0.35">
      <c r="A272">
        <v>23227</v>
      </c>
    </row>
    <row r="273" spans="1:1" x14ac:dyDescent="0.35">
      <c r="A273">
        <v>28575</v>
      </c>
    </row>
    <row r="274" spans="1:1" x14ac:dyDescent="0.35">
      <c r="A274">
        <v>3536</v>
      </c>
    </row>
    <row r="275" spans="1:1" x14ac:dyDescent="0.35">
      <c r="A275">
        <v>40720</v>
      </c>
    </row>
    <row r="276" spans="1:1" x14ac:dyDescent="0.35">
      <c r="A276">
        <v>12379</v>
      </c>
    </row>
    <row r="277" spans="1:1" x14ac:dyDescent="0.35">
      <c r="A277">
        <v>4415</v>
      </c>
    </row>
    <row r="278" spans="1:1" x14ac:dyDescent="0.35">
      <c r="A278">
        <v>29576</v>
      </c>
    </row>
    <row r="279" spans="1:1" x14ac:dyDescent="0.35">
      <c r="A279">
        <v>40185</v>
      </c>
    </row>
    <row r="280" spans="1:1" x14ac:dyDescent="0.35">
      <c r="A280">
        <v>81957</v>
      </c>
    </row>
    <row r="281" spans="1:1" x14ac:dyDescent="0.35">
      <c r="A281">
        <v>73002</v>
      </c>
    </row>
    <row r="282" spans="1:1" x14ac:dyDescent="0.35">
      <c r="A282">
        <v>75868</v>
      </c>
    </row>
    <row r="283" spans="1:1" x14ac:dyDescent="0.35">
      <c r="A283">
        <v>55801</v>
      </c>
    </row>
    <row r="284" spans="1:1" x14ac:dyDescent="0.35">
      <c r="A284">
        <v>94656</v>
      </c>
    </row>
    <row r="285" spans="1:1" x14ac:dyDescent="0.35">
      <c r="A285">
        <v>98360</v>
      </c>
    </row>
    <row r="286" spans="1:1" x14ac:dyDescent="0.35">
      <c r="A286">
        <v>11154</v>
      </c>
    </row>
    <row r="287" spans="1:1" x14ac:dyDescent="0.35">
      <c r="A287">
        <v>81301</v>
      </c>
    </row>
    <row r="288" spans="1:1" x14ac:dyDescent="0.35">
      <c r="A288">
        <v>23027</v>
      </c>
    </row>
    <row r="289" spans="1:1" x14ac:dyDescent="0.35">
      <c r="A289">
        <v>83633</v>
      </c>
    </row>
    <row r="290" spans="1:1" x14ac:dyDescent="0.35">
      <c r="A290">
        <v>60794</v>
      </c>
    </row>
    <row r="291" spans="1:1" x14ac:dyDescent="0.35">
      <c r="A291">
        <v>18701</v>
      </c>
    </row>
    <row r="292" spans="1:1" x14ac:dyDescent="0.35">
      <c r="A292">
        <v>9051</v>
      </c>
    </row>
    <row r="293" spans="1:1" x14ac:dyDescent="0.35">
      <c r="A293">
        <v>45674</v>
      </c>
    </row>
    <row r="294" spans="1:1" x14ac:dyDescent="0.35">
      <c r="A294">
        <v>45092</v>
      </c>
    </row>
    <row r="295" spans="1:1" x14ac:dyDescent="0.35">
      <c r="A295">
        <v>84897</v>
      </c>
    </row>
    <row r="296" spans="1:1" x14ac:dyDescent="0.35">
      <c r="A296">
        <v>53029</v>
      </c>
    </row>
    <row r="297" spans="1:1" x14ac:dyDescent="0.35">
      <c r="A297">
        <v>95768</v>
      </c>
    </row>
    <row r="298" spans="1:1" x14ac:dyDescent="0.35">
      <c r="A298">
        <v>64099</v>
      </c>
    </row>
    <row r="299" spans="1:1" x14ac:dyDescent="0.35">
      <c r="A299">
        <v>11862</v>
      </c>
    </row>
    <row r="300" spans="1:1" x14ac:dyDescent="0.35">
      <c r="A300">
        <v>45783</v>
      </c>
    </row>
    <row r="301" spans="1:1" x14ac:dyDescent="0.35">
      <c r="A301">
        <v>97602</v>
      </c>
    </row>
    <row r="302" spans="1:1" x14ac:dyDescent="0.35">
      <c r="A302">
        <v>56118</v>
      </c>
    </row>
    <row r="303" spans="1:1" x14ac:dyDescent="0.35">
      <c r="A303">
        <v>98034</v>
      </c>
    </row>
    <row r="304" spans="1:1" x14ac:dyDescent="0.35">
      <c r="A304">
        <v>99815</v>
      </c>
    </row>
    <row r="305" spans="1:1" x14ac:dyDescent="0.35">
      <c r="A305">
        <v>73497</v>
      </c>
    </row>
    <row r="306" spans="1:1" x14ac:dyDescent="0.35">
      <c r="A306">
        <v>93774</v>
      </c>
    </row>
    <row r="307" spans="1:1" x14ac:dyDescent="0.35">
      <c r="A307">
        <v>51579</v>
      </c>
    </row>
    <row r="308" spans="1:1" x14ac:dyDescent="0.35">
      <c r="A308">
        <v>5570</v>
      </c>
    </row>
    <row r="309" spans="1:1" x14ac:dyDescent="0.35">
      <c r="A309">
        <v>23936</v>
      </c>
    </row>
    <row r="310" spans="1:1" x14ac:dyDescent="0.35">
      <c r="A310">
        <v>81251</v>
      </c>
    </row>
    <row r="311" spans="1:1" x14ac:dyDescent="0.35">
      <c r="A311">
        <v>11203</v>
      </c>
    </row>
    <row r="312" spans="1:1" x14ac:dyDescent="0.35">
      <c r="A312">
        <v>8698</v>
      </c>
    </row>
    <row r="313" spans="1:1" x14ac:dyDescent="0.35">
      <c r="A313">
        <v>32151</v>
      </c>
    </row>
    <row r="314" spans="1:1" x14ac:dyDescent="0.35">
      <c r="A314">
        <v>39599</v>
      </c>
    </row>
    <row r="315" spans="1:1" x14ac:dyDescent="0.35">
      <c r="A315">
        <v>49085</v>
      </c>
    </row>
    <row r="316" spans="1:1" x14ac:dyDescent="0.35">
      <c r="A316">
        <v>13487</v>
      </c>
    </row>
    <row r="317" spans="1:1" x14ac:dyDescent="0.35">
      <c r="A317">
        <v>47313</v>
      </c>
    </row>
    <row r="318" spans="1:1" x14ac:dyDescent="0.35">
      <c r="A318">
        <v>78597</v>
      </c>
    </row>
    <row r="319" spans="1:1" x14ac:dyDescent="0.35">
      <c r="A319">
        <v>24368</v>
      </c>
    </row>
    <row r="320" spans="1:1" x14ac:dyDescent="0.35">
      <c r="A320">
        <v>39852</v>
      </c>
    </row>
    <row r="321" spans="1:1" x14ac:dyDescent="0.35">
      <c r="A321">
        <v>98412</v>
      </c>
    </row>
    <row r="322" spans="1:1" x14ac:dyDescent="0.35">
      <c r="A322">
        <v>72108</v>
      </c>
    </row>
    <row r="323" spans="1:1" x14ac:dyDescent="0.35">
      <c r="A323">
        <v>86534</v>
      </c>
    </row>
    <row r="324" spans="1:1" x14ac:dyDescent="0.35">
      <c r="A324">
        <v>514</v>
      </c>
    </row>
    <row r="325" spans="1:1" x14ac:dyDescent="0.35">
      <c r="A325">
        <v>19174</v>
      </c>
    </row>
    <row r="326" spans="1:1" x14ac:dyDescent="0.35">
      <c r="A326">
        <v>56686</v>
      </c>
    </row>
    <row r="327" spans="1:1" x14ac:dyDescent="0.35">
      <c r="A327">
        <v>12000</v>
      </c>
    </row>
    <row r="328" spans="1:1" x14ac:dyDescent="0.35">
      <c r="A328">
        <v>85666</v>
      </c>
    </row>
    <row r="329" spans="1:1" x14ac:dyDescent="0.35">
      <c r="A329">
        <v>55603</v>
      </c>
    </row>
    <row r="330" spans="1:1" x14ac:dyDescent="0.35">
      <c r="A330">
        <v>20377</v>
      </c>
    </row>
    <row r="331" spans="1:1" x14ac:dyDescent="0.35">
      <c r="A331">
        <v>37594</v>
      </c>
    </row>
    <row r="332" spans="1:1" x14ac:dyDescent="0.35">
      <c r="A332">
        <v>35121</v>
      </c>
    </row>
    <row r="333" spans="1:1" x14ac:dyDescent="0.35">
      <c r="A333">
        <v>27465</v>
      </c>
    </row>
    <row r="334" spans="1:1" x14ac:dyDescent="0.35">
      <c r="A334">
        <v>83668</v>
      </c>
    </row>
    <row r="335" spans="1:1" x14ac:dyDescent="0.35">
      <c r="A335">
        <v>42657</v>
      </c>
    </row>
    <row r="336" spans="1:1" x14ac:dyDescent="0.35">
      <c r="A336">
        <v>51506</v>
      </c>
    </row>
    <row r="337" spans="1:1" x14ac:dyDescent="0.35">
      <c r="A337">
        <v>22964</v>
      </c>
    </row>
    <row r="338" spans="1:1" x14ac:dyDescent="0.35">
      <c r="A338">
        <v>29311</v>
      </c>
    </row>
    <row r="339" spans="1:1" x14ac:dyDescent="0.35">
      <c r="A339">
        <v>91905</v>
      </c>
    </row>
    <row r="340" spans="1:1" x14ac:dyDescent="0.35">
      <c r="A340">
        <v>21975</v>
      </c>
    </row>
    <row r="341" spans="1:1" x14ac:dyDescent="0.35">
      <c r="A341">
        <v>36947</v>
      </c>
    </row>
    <row r="342" spans="1:1" x14ac:dyDescent="0.35">
      <c r="A342">
        <v>98153</v>
      </c>
    </row>
    <row r="343" spans="1:1" x14ac:dyDescent="0.35">
      <c r="A343">
        <v>2924</v>
      </c>
    </row>
    <row r="344" spans="1:1" x14ac:dyDescent="0.35">
      <c r="A344">
        <v>39176</v>
      </c>
    </row>
    <row r="345" spans="1:1" x14ac:dyDescent="0.35">
      <c r="A345">
        <v>27370</v>
      </c>
    </row>
    <row r="346" spans="1:1" x14ac:dyDescent="0.35">
      <c r="A346">
        <v>49881</v>
      </c>
    </row>
  </sheetData>
  <mergeCells count="2">
    <mergeCell ref="F10:J16"/>
    <mergeCell ref="A2:F3"/>
  </mergeCells>
  <conditionalFormatting sqref="A5:A346">
    <cfRule type="duplicateValues" dxfId="1" priority="1"/>
  </conditionalFormatting>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M348"/>
  <sheetViews>
    <sheetView topLeftCell="G4" zoomScale="109" workbookViewId="0">
      <selection activeCell="I21" sqref="I21:M27"/>
    </sheetView>
  </sheetViews>
  <sheetFormatPr defaultColWidth="8.81640625" defaultRowHeight="14.5" x14ac:dyDescent="0.35"/>
  <cols>
    <col min="1" max="1" width="13.453125" customWidth="1"/>
    <col min="2" max="2" width="10.453125" style="2" bestFit="1" customWidth="1"/>
    <col min="3" max="3" width="13.36328125" style="4" bestFit="1" customWidth="1"/>
    <col min="4" max="4" width="9.453125" style="4" bestFit="1" customWidth="1"/>
    <col min="5" max="5" width="9.36328125" style="4" bestFit="1" customWidth="1"/>
    <col min="6" max="6" width="10.453125" bestFit="1" customWidth="1"/>
    <col min="8" max="8" width="48.81640625" bestFit="1" customWidth="1"/>
    <col min="9" max="9" width="10.08984375" bestFit="1" customWidth="1"/>
  </cols>
  <sheetData>
    <row r="1" spans="1:13" x14ac:dyDescent="0.35">
      <c r="A1" s="63" t="s">
        <v>412</v>
      </c>
      <c r="B1" s="63"/>
      <c r="C1" s="63"/>
      <c r="D1" s="63"/>
      <c r="E1" s="63"/>
      <c r="F1" s="63"/>
      <c r="G1" s="63"/>
      <c r="H1" s="63"/>
    </row>
    <row r="2" spans="1:13" ht="15" customHeight="1" x14ac:dyDescent="0.35">
      <c r="A2" s="63"/>
      <c r="B2" s="63"/>
      <c r="C2" s="63"/>
      <c r="D2" s="63"/>
      <c r="E2" s="63"/>
      <c r="F2" s="63"/>
      <c r="G2" s="63"/>
      <c r="H2" s="63"/>
    </row>
    <row r="3" spans="1:13" x14ac:dyDescent="0.35">
      <c r="A3" s="63"/>
      <c r="B3" s="63"/>
      <c r="C3" s="63"/>
      <c r="D3" s="63"/>
      <c r="E3" s="63"/>
      <c r="F3" s="63"/>
      <c r="G3" s="63"/>
      <c r="H3" s="63"/>
    </row>
    <row r="4" spans="1:13" x14ac:dyDescent="0.35">
      <c r="A4" s="63"/>
      <c r="B4" s="63"/>
      <c r="C4" s="63"/>
      <c r="D4" s="63"/>
      <c r="E4" s="63"/>
      <c r="F4" s="63"/>
      <c r="G4" s="63"/>
      <c r="H4" s="63"/>
    </row>
    <row r="5" spans="1:13" x14ac:dyDescent="0.35">
      <c r="B5"/>
      <c r="C5"/>
      <c r="D5"/>
      <c r="E5"/>
    </row>
    <row r="6" spans="1:13" x14ac:dyDescent="0.35">
      <c r="A6" s="62" t="s">
        <v>391</v>
      </c>
      <c r="B6" s="62"/>
      <c r="C6" s="62"/>
      <c r="D6" s="62"/>
      <c r="E6" s="62"/>
    </row>
    <row r="7" spans="1:13" x14ac:dyDescent="0.35">
      <c r="A7" s="15" t="s">
        <v>390</v>
      </c>
      <c r="B7" s="19" t="s">
        <v>2</v>
      </c>
      <c r="C7" s="20" t="s">
        <v>1</v>
      </c>
      <c r="D7" s="20" t="s">
        <v>3</v>
      </c>
      <c r="E7" s="20" t="s">
        <v>4</v>
      </c>
    </row>
    <row r="8" spans="1:13" x14ac:dyDescent="0.35">
      <c r="A8" t="s">
        <v>49</v>
      </c>
      <c r="B8" s="2">
        <v>9617</v>
      </c>
      <c r="C8" s="4">
        <v>25455</v>
      </c>
      <c r="D8" s="4">
        <v>6533</v>
      </c>
      <c r="E8" s="4">
        <v>257</v>
      </c>
      <c r="F8" s="21"/>
      <c r="H8" s="15" t="s">
        <v>392</v>
      </c>
      <c r="I8" s="27">
        <f>MAX(B8:B348)</f>
        <v>9999</v>
      </c>
    </row>
    <row r="9" spans="1:13" x14ac:dyDescent="0.35">
      <c r="A9" t="s">
        <v>50</v>
      </c>
      <c r="B9" s="2">
        <v>9488</v>
      </c>
      <c r="C9" s="4">
        <v>50124</v>
      </c>
      <c r="D9" s="4">
        <v>1088</v>
      </c>
      <c r="E9" s="4">
        <v>210</v>
      </c>
    </row>
    <row r="10" spans="1:13" x14ac:dyDescent="0.35">
      <c r="A10" t="s">
        <v>51</v>
      </c>
      <c r="B10" s="2">
        <v>9997</v>
      </c>
      <c r="C10" s="4">
        <v>12809</v>
      </c>
      <c r="D10" s="4">
        <v>3723</v>
      </c>
      <c r="E10" s="4">
        <v>371</v>
      </c>
      <c r="H10" s="15" t="s">
        <v>393</v>
      </c>
      <c r="I10" s="16">
        <f>COUNTIF(B8:B348, I8)</f>
        <v>1</v>
      </c>
    </row>
    <row r="11" spans="1:13" x14ac:dyDescent="0.35">
      <c r="A11" t="s">
        <v>52</v>
      </c>
      <c r="B11" s="2">
        <v>9612</v>
      </c>
      <c r="C11" s="4">
        <v>16932</v>
      </c>
      <c r="D11" s="4">
        <v>4733</v>
      </c>
      <c r="E11" s="4">
        <v>453</v>
      </c>
    </row>
    <row r="12" spans="1:13" x14ac:dyDescent="0.35">
      <c r="A12" t="s">
        <v>53</v>
      </c>
      <c r="B12" s="2">
        <v>9498</v>
      </c>
      <c r="C12" s="4">
        <v>41121</v>
      </c>
      <c r="D12" s="4">
        <v>4509</v>
      </c>
      <c r="E12" s="4">
        <v>214</v>
      </c>
      <c r="H12" s="15" t="s">
        <v>394</v>
      </c>
      <c r="I12" s="61" t="str">
        <f>INDEX(A8:A348,MATCH(I8,B8:B348,0))</f>
        <v>pubid:64092</v>
      </c>
      <c r="J12" s="61"/>
      <c r="K12" s="61"/>
      <c r="L12" s="61"/>
      <c r="M12" s="61"/>
    </row>
    <row r="13" spans="1:13" x14ac:dyDescent="0.35">
      <c r="A13" t="s">
        <v>54</v>
      </c>
      <c r="B13" s="2">
        <v>9729</v>
      </c>
      <c r="C13" s="4">
        <v>13836</v>
      </c>
      <c r="D13" s="4">
        <v>6453</v>
      </c>
      <c r="E13" s="4">
        <v>574</v>
      </c>
      <c r="I13" s="61"/>
      <c r="J13" s="61"/>
      <c r="K13" s="61"/>
      <c r="L13" s="61"/>
      <c r="M13" s="61"/>
    </row>
    <row r="14" spans="1:13" x14ac:dyDescent="0.35">
      <c r="A14" t="s">
        <v>55</v>
      </c>
      <c r="B14" s="2">
        <v>9332</v>
      </c>
      <c r="C14" s="4">
        <v>48673</v>
      </c>
      <c r="D14" s="4">
        <v>1814</v>
      </c>
      <c r="E14" s="4">
        <v>209</v>
      </c>
      <c r="H14" s="15"/>
      <c r="I14" s="61"/>
      <c r="J14" s="61"/>
      <c r="K14" s="61"/>
      <c r="L14" s="61"/>
      <c r="M14" s="61"/>
    </row>
    <row r="15" spans="1:13" x14ac:dyDescent="0.35">
      <c r="A15" t="s">
        <v>56</v>
      </c>
      <c r="B15" s="2">
        <v>9385</v>
      </c>
      <c r="C15" s="4">
        <v>19653</v>
      </c>
      <c r="D15" s="4">
        <v>3546</v>
      </c>
      <c r="E15" s="4">
        <v>294</v>
      </c>
      <c r="I15" s="61"/>
      <c r="J15" s="61"/>
      <c r="K15" s="61"/>
      <c r="L15" s="61"/>
      <c r="M15" s="61"/>
    </row>
    <row r="16" spans="1:13" x14ac:dyDescent="0.35">
      <c r="A16" t="s">
        <v>57</v>
      </c>
      <c r="B16" s="2">
        <v>9779</v>
      </c>
      <c r="C16" s="4">
        <v>43037</v>
      </c>
      <c r="D16" s="4">
        <v>5866</v>
      </c>
      <c r="E16" s="4">
        <v>633</v>
      </c>
      <c r="I16" s="61"/>
      <c r="J16" s="61"/>
      <c r="K16" s="61"/>
      <c r="L16" s="61"/>
      <c r="M16" s="61"/>
    </row>
    <row r="17" spans="1:13" x14ac:dyDescent="0.35">
      <c r="A17" t="s">
        <v>58</v>
      </c>
      <c r="B17" s="2">
        <v>9050</v>
      </c>
      <c r="C17" s="4">
        <v>63519</v>
      </c>
      <c r="D17" s="4">
        <v>2488</v>
      </c>
      <c r="E17" s="4">
        <v>531</v>
      </c>
      <c r="I17" s="61"/>
      <c r="J17" s="61"/>
      <c r="K17" s="61"/>
      <c r="L17" s="61"/>
      <c r="M17" s="61"/>
    </row>
    <row r="18" spans="1:13" x14ac:dyDescent="0.35">
      <c r="A18" t="s">
        <v>59</v>
      </c>
      <c r="B18" s="2">
        <v>9137</v>
      </c>
      <c r="C18" s="4">
        <v>38860</v>
      </c>
      <c r="D18" s="4">
        <v>5144</v>
      </c>
      <c r="E18" s="4">
        <v>340</v>
      </c>
      <c r="I18" s="61"/>
      <c r="J18" s="61"/>
      <c r="K18" s="61"/>
      <c r="L18" s="61"/>
      <c r="M18" s="61"/>
    </row>
    <row r="19" spans="1:13" x14ac:dyDescent="0.35">
      <c r="A19" t="s">
        <v>60</v>
      </c>
      <c r="B19" s="2">
        <v>9406</v>
      </c>
      <c r="C19" s="4">
        <v>59447</v>
      </c>
      <c r="D19" s="4">
        <v>1478</v>
      </c>
      <c r="E19" s="4">
        <v>578</v>
      </c>
    </row>
    <row r="20" spans="1:13" x14ac:dyDescent="0.35">
      <c r="A20" t="s">
        <v>61</v>
      </c>
      <c r="B20" s="2">
        <v>9010</v>
      </c>
      <c r="C20" s="4">
        <v>43805</v>
      </c>
      <c r="D20" s="4">
        <v>1656</v>
      </c>
      <c r="E20" s="4">
        <v>317</v>
      </c>
    </row>
    <row r="21" spans="1:13" x14ac:dyDescent="0.35">
      <c r="A21" t="s">
        <v>62</v>
      </c>
      <c r="B21" s="2">
        <v>9549</v>
      </c>
      <c r="C21" s="4">
        <v>53361</v>
      </c>
      <c r="D21" s="4">
        <v>1943</v>
      </c>
      <c r="E21" s="4">
        <v>133</v>
      </c>
      <c r="H21" s="64" t="s">
        <v>395</v>
      </c>
      <c r="I21" s="61" t="s">
        <v>434</v>
      </c>
      <c r="J21" s="61"/>
      <c r="K21" s="61"/>
      <c r="L21" s="61"/>
      <c r="M21" s="61"/>
    </row>
    <row r="22" spans="1:13" x14ac:dyDescent="0.35">
      <c r="A22" t="s">
        <v>63</v>
      </c>
      <c r="B22" s="2">
        <v>9134</v>
      </c>
      <c r="C22" s="4">
        <v>44366</v>
      </c>
      <c r="D22" s="4">
        <v>5592</v>
      </c>
      <c r="E22" s="4">
        <v>520</v>
      </c>
      <c r="H22" s="64"/>
      <c r="I22" s="61"/>
      <c r="J22" s="61"/>
      <c r="K22" s="61"/>
      <c r="L22" s="61"/>
      <c r="M22" s="61"/>
    </row>
    <row r="23" spans="1:13" x14ac:dyDescent="0.35">
      <c r="A23" t="s">
        <v>64</v>
      </c>
      <c r="B23" s="2">
        <v>9259</v>
      </c>
      <c r="C23" s="4">
        <v>21181</v>
      </c>
      <c r="D23" s="4">
        <v>4643</v>
      </c>
      <c r="E23" s="4">
        <v>583</v>
      </c>
      <c r="I23" s="61"/>
      <c r="J23" s="61"/>
      <c r="K23" s="61"/>
      <c r="L23" s="61"/>
      <c r="M23" s="61"/>
    </row>
    <row r="24" spans="1:13" x14ac:dyDescent="0.35">
      <c r="A24" t="s">
        <v>65</v>
      </c>
      <c r="B24" s="2">
        <v>9352</v>
      </c>
      <c r="C24" s="4">
        <v>11785</v>
      </c>
      <c r="D24" s="4">
        <v>3001</v>
      </c>
      <c r="E24" s="4">
        <v>346</v>
      </c>
      <c r="I24" s="61"/>
      <c r="J24" s="61"/>
      <c r="K24" s="61"/>
      <c r="L24" s="61"/>
      <c r="M24" s="61"/>
    </row>
    <row r="25" spans="1:13" x14ac:dyDescent="0.35">
      <c r="A25" t="s">
        <v>66</v>
      </c>
      <c r="B25" s="2">
        <v>9292</v>
      </c>
      <c r="C25" s="4">
        <v>60950</v>
      </c>
      <c r="D25" s="4">
        <v>4542</v>
      </c>
      <c r="E25" s="4">
        <v>468</v>
      </c>
      <c r="I25" s="61"/>
      <c r="J25" s="61"/>
      <c r="K25" s="61"/>
      <c r="L25" s="61"/>
      <c r="M25" s="61"/>
    </row>
    <row r="26" spans="1:13" x14ac:dyDescent="0.35">
      <c r="A26" t="s">
        <v>67</v>
      </c>
      <c r="B26" s="2">
        <v>9449</v>
      </c>
      <c r="C26" s="4">
        <v>59594</v>
      </c>
      <c r="D26" s="4">
        <v>4727</v>
      </c>
      <c r="E26" s="4">
        <v>157</v>
      </c>
      <c r="I26" s="61"/>
      <c r="J26" s="61"/>
      <c r="K26" s="61"/>
      <c r="L26" s="61"/>
      <c r="M26" s="61"/>
    </row>
    <row r="27" spans="1:13" x14ac:dyDescent="0.35">
      <c r="A27" t="s">
        <v>68</v>
      </c>
      <c r="B27" s="2">
        <v>9803</v>
      </c>
      <c r="C27" s="4">
        <v>24846</v>
      </c>
      <c r="D27" s="4">
        <v>5147</v>
      </c>
      <c r="E27" s="4">
        <v>502</v>
      </c>
      <c r="I27" s="61"/>
      <c r="J27" s="61"/>
      <c r="K27" s="61"/>
      <c r="L27" s="61"/>
      <c r="M27" s="61"/>
    </row>
    <row r="28" spans="1:13" x14ac:dyDescent="0.35">
      <c r="A28" t="s">
        <v>69</v>
      </c>
      <c r="B28" s="2">
        <v>9334</v>
      </c>
      <c r="C28" s="4">
        <v>30470</v>
      </c>
      <c r="D28" s="4">
        <v>5363</v>
      </c>
      <c r="E28" s="4">
        <v>541</v>
      </c>
    </row>
    <row r="29" spans="1:13" x14ac:dyDescent="0.35">
      <c r="A29" t="s">
        <v>70</v>
      </c>
      <c r="B29" s="2">
        <v>9900</v>
      </c>
      <c r="C29" s="4">
        <v>18100</v>
      </c>
      <c r="D29" s="4">
        <v>6228</v>
      </c>
      <c r="E29" s="4">
        <v>541</v>
      </c>
    </row>
    <row r="30" spans="1:13" x14ac:dyDescent="0.35">
      <c r="A30" t="s">
        <v>71</v>
      </c>
      <c r="B30" s="2">
        <v>9204</v>
      </c>
      <c r="C30" s="4">
        <v>59206</v>
      </c>
      <c r="D30" s="4">
        <v>2617</v>
      </c>
      <c r="E30" s="4">
        <v>283</v>
      </c>
    </row>
    <row r="31" spans="1:13" x14ac:dyDescent="0.35">
      <c r="A31" t="s">
        <v>72</v>
      </c>
      <c r="B31" s="2">
        <v>9662</v>
      </c>
      <c r="C31" s="4">
        <v>32457</v>
      </c>
      <c r="D31" s="4">
        <v>1121</v>
      </c>
      <c r="E31" s="4">
        <v>361</v>
      </c>
    </row>
    <row r="32" spans="1:13" x14ac:dyDescent="0.35">
      <c r="A32" t="s">
        <v>73</v>
      </c>
      <c r="B32" s="2">
        <v>9149</v>
      </c>
      <c r="C32" s="4">
        <v>46377</v>
      </c>
      <c r="D32" s="4">
        <v>3738</v>
      </c>
      <c r="E32" s="4">
        <v>379</v>
      </c>
    </row>
    <row r="33" spans="1:5" x14ac:dyDescent="0.35">
      <c r="A33" t="s">
        <v>74</v>
      </c>
      <c r="B33" s="2">
        <v>9265</v>
      </c>
      <c r="C33" s="4">
        <v>58473</v>
      </c>
      <c r="D33" s="4">
        <v>4271</v>
      </c>
      <c r="E33" s="4">
        <v>283</v>
      </c>
    </row>
    <row r="34" spans="1:5" x14ac:dyDescent="0.35">
      <c r="A34" t="s">
        <v>75</v>
      </c>
      <c r="B34" s="2">
        <v>9997</v>
      </c>
      <c r="C34" s="4">
        <v>44087</v>
      </c>
      <c r="D34" s="4">
        <v>6331</v>
      </c>
      <c r="E34" s="4">
        <v>642</v>
      </c>
    </row>
    <row r="35" spans="1:5" x14ac:dyDescent="0.35">
      <c r="A35" t="s">
        <v>76</v>
      </c>
      <c r="B35" s="2">
        <v>9270</v>
      </c>
      <c r="C35" s="4">
        <v>23005</v>
      </c>
      <c r="D35" s="4">
        <v>5713</v>
      </c>
      <c r="E35" s="4">
        <v>577</v>
      </c>
    </row>
    <row r="36" spans="1:5" x14ac:dyDescent="0.35">
      <c r="A36" t="s">
        <v>77</v>
      </c>
      <c r="B36" s="2">
        <v>9976</v>
      </c>
      <c r="C36" s="4">
        <v>51549</v>
      </c>
      <c r="D36" s="4">
        <v>6010</v>
      </c>
      <c r="E36" s="4">
        <v>261</v>
      </c>
    </row>
    <row r="37" spans="1:5" x14ac:dyDescent="0.35">
      <c r="A37" t="s">
        <v>78</v>
      </c>
      <c r="B37" s="2">
        <v>9971</v>
      </c>
      <c r="C37" s="4">
        <v>38374</v>
      </c>
      <c r="D37" s="4">
        <v>3920</v>
      </c>
      <c r="E37" s="4">
        <v>358</v>
      </c>
    </row>
    <row r="38" spans="1:5" x14ac:dyDescent="0.35">
      <c r="A38" t="s">
        <v>79</v>
      </c>
      <c r="B38" s="2">
        <v>9952</v>
      </c>
      <c r="C38" s="4">
        <v>20337</v>
      </c>
      <c r="D38" s="4">
        <v>4687</v>
      </c>
      <c r="E38" s="4">
        <v>543</v>
      </c>
    </row>
    <row r="39" spans="1:5" x14ac:dyDescent="0.35">
      <c r="A39" t="s">
        <v>80</v>
      </c>
      <c r="B39" s="2">
        <v>9305</v>
      </c>
      <c r="C39" s="4">
        <v>44744</v>
      </c>
      <c r="D39" s="4">
        <v>6063</v>
      </c>
      <c r="E39" s="4">
        <v>147</v>
      </c>
    </row>
    <row r="40" spans="1:5" x14ac:dyDescent="0.35">
      <c r="A40" t="s">
        <v>81</v>
      </c>
      <c r="B40" s="2">
        <v>9755</v>
      </c>
      <c r="C40" s="4">
        <v>56313</v>
      </c>
      <c r="D40" s="4">
        <v>4667</v>
      </c>
      <c r="E40" s="4">
        <v>572</v>
      </c>
    </row>
    <row r="41" spans="1:5" x14ac:dyDescent="0.35">
      <c r="A41" t="s">
        <v>82</v>
      </c>
      <c r="B41" s="2">
        <v>9882</v>
      </c>
      <c r="C41" s="4">
        <v>13160</v>
      </c>
      <c r="D41" s="4">
        <v>4489</v>
      </c>
      <c r="E41" s="4">
        <v>117</v>
      </c>
    </row>
    <row r="42" spans="1:5" x14ac:dyDescent="0.35">
      <c r="A42" t="s">
        <v>83</v>
      </c>
      <c r="B42" s="2">
        <v>9801</v>
      </c>
      <c r="C42" s="4">
        <v>12953</v>
      </c>
      <c r="D42" s="4">
        <v>2854</v>
      </c>
      <c r="E42" s="4">
        <v>323</v>
      </c>
    </row>
    <row r="43" spans="1:5" x14ac:dyDescent="0.35">
      <c r="A43" t="s">
        <v>84</v>
      </c>
      <c r="B43" s="2">
        <v>9738</v>
      </c>
      <c r="C43" s="4">
        <v>13436</v>
      </c>
      <c r="D43" s="4">
        <v>2921</v>
      </c>
      <c r="E43" s="4">
        <v>261</v>
      </c>
    </row>
    <row r="44" spans="1:5" x14ac:dyDescent="0.35">
      <c r="A44" t="s">
        <v>85</v>
      </c>
      <c r="B44" s="2">
        <v>9472</v>
      </c>
      <c r="C44" s="4">
        <v>48959</v>
      </c>
      <c r="D44" s="4">
        <v>5173</v>
      </c>
      <c r="E44" s="4">
        <v>186</v>
      </c>
    </row>
    <row r="45" spans="1:5" x14ac:dyDescent="0.35">
      <c r="A45" t="s">
        <v>86</v>
      </c>
      <c r="B45" s="2">
        <v>9611</v>
      </c>
      <c r="C45" s="4">
        <v>60482</v>
      </c>
      <c r="D45" s="4">
        <v>4121</v>
      </c>
      <c r="E45" s="4">
        <v>130</v>
      </c>
    </row>
    <row r="46" spans="1:5" x14ac:dyDescent="0.35">
      <c r="A46" t="s">
        <v>87</v>
      </c>
      <c r="B46" s="2">
        <v>9843</v>
      </c>
      <c r="C46" s="4">
        <v>43466</v>
      </c>
      <c r="D46" s="4">
        <v>3592</v>
      </c>
      <c r="E46" s="4">
        <v>219</v>
      </c>
    </row>
    <row r="47" spans="1:5" x14ac:dyDescent="0.35">
      <c r="A47" t="s">
        <v>88</v>
      </c>
      <c r="B47" s="2">
        <v>9213</v>
      </c>
      <c r="C47" s="4">
        <v>49560</v>
      </c>
      <c r="D47" s="4">
        <v>6350</v>
      </c>
      <c r="E47" s="4">
        <v>122</v>
      </c>
    </row>
    <row r="48" spans="1:5" x14ac:dyDescent="0.35">
      <c r="A48" t="s">
        <v>89</v>
      </c>
      <c r="B48" s="2">
        <v>9725</v>
      </c>
      <c r="C48" s="4">
        <v>20447</v>
      </c>
      <c r="D48" s="4">
        <v>2922</v>
      </c>
      <c r="E48" s="4">
        <v>209</v>
      </c>
    </row>
    <row r="49" spans="1:5" x14ac:dyDescent="0.35">
      <c r="A49" t="s">
        <v>90</v>
      </c>
      <c r="B49" s="2">
        <v>9811</v>
      </c>
      <c r="C49" s="4">
        <v>56999</v>
      </c>
      <c r="D49" s="4">
        <v>4109</v>
      </c>
      <c r="E49" s="4">
        <v>367</v>
      </c>
    </row>
    <row r="50" spans="1:5" x14ac:dyDescent="0.35">
      <c r="A50" t="s">
        <v>91</v>
      </c>
      <c r="B50" s="2">
        <v>9630</v>
      </c>
      <c r="C50" s="4">
        <v>51759</v>
      </c>
      <c r="D50" s="4">
        <v>5962</v>
      </c>
      <c r="E50" s="4">
        <v>288</v>
      </c>
    </row>
    <row r="51" spans="1:5" x14ac:dyDescent="0.35">
      <c r="A51" t="s">
        <v>92</v>
      </c>
      <c r="B51" s="2">
        <v>9546</v>
      </c>
      <c r="C51" s="4">
        <v>23844</v>
      </c>
      <c r="D51" s="4">
        <v>5216</v>
      </c>
      <c r="E51" s="4">
        <v>248</v>
      </c>
    </row>
    <row r="52" spans="1:5" x14ac:dyDescent="0.35">
      <c r="A52" t="s">
        <v>93</v>
      </c>
      <c r="B52" s="2">
        <v>9927</v>
      </c>
      <c r="C52" s="4">
        <v>65564</v>
      </c>
      <c r="D52" s="4">
        <v>5120</v>
      </c>
      <c r="E52" s="4">
        <v>468</v>
      </c>
    </row>
    <row r="53" spans="1:5" x14ac:dyDescent="0.35">
      <c r="A53" t="s">
        <v>94</v>
      </c>
      <c r="B53" s="2">
        <v>9081</v>
      </c>
      <c r="C53" s="4">
        <v>63881</v>
      </c>
      <c r="D53" s="4">
        <v>4721</v>
      </c>
      <c r="E53" s="4">
        <v>314</v>
      </c>
    </row>
    <row r="54" spans="1:5" x14ac:dyDescent="0.35">
      <c r="A54" t="s">
        <v>95</v>
      </c>
      <c r="B54" s="2">
        <v>9249</v>
      </c>
      <c r="C54" s="4">
        <v>21878</v>
      </c>
      <c r="D54" s="4">
        <v>3041</v>
      </c>
      <c r="E54" s="4">
        <v>491</v>
      </c>
    </row>
    <row r="55" spans="1:5" x14ac:dyDescent="0.35">
      <c r="A55" t="s">
        <v>96</v>
      </c>
      <c r="B55" s="2">
        <v>9891</v>
      </c>
      <c r="C55" s="4">
        <v>62734</v>
      </c>
      <c r="D55" s="4">
        <v>3505</v>
      </c>
      <c r="E55" s="4">
        <v>372</v>
      </c>
    </row>
    <row r="56" spans="1:5" x14ac:dyDescent="0.35">
      <c r="A56" t="s">
        <v>97</v>
      </c>
      <c r="B56" s="2">
        <v>9182</v>
      </c>
      <c r="C56" s="4">
        <v>46469</v>
      </c>
      <c r="D56" s="4">
        <v>5103</v>
      </c>
      <c r="E56" s="4">
        <v>615</v>
      </c>
    </row>
    <row r="57" spans="1:5" x14ac:dyDescent="0.35">
      <c r="A57" t="s">
        <v>98</v>
      </c>
      <c r="B57" s="2">
        <v>9167</v>
      </c>
      <c r="C57" s="4">
        <v>65479</v>
      </c>
      <c r="D57" s="4">
        <v>6074</v>
      </c>
      <c r="E57" s="4">
        <v>536</v>
      </c>
    </row>
    <row r="58" spans="1:5" x14ac:dyDescent="0.35">
      <c r="A58" t="s">
        <v>99</v>
      </c>
      <c r="B58" s="2">
        <v>9115</v>
      </c>
      <c r="C58" s="4">
        <v>38609</v>
      </c>
      <c r="D58" s="4">
        <v>4765</v>
      </c>
      <c r="E58" s="4">
        <v>630</v>
      </c>
    </row>
    <row r="59" spans="1:5" x14ac:dyDescent="0.35">
      <c r="A59" t="s">
        <v>100</v>
      </c>
      <c r="B59" s="2">
        <v>9700</v>
      </c>
      <c r="C59" s="4">
        <v>35635</v>
      </c>
      <c r="D59" s="4">
        <v>2693</v>
      </c>
      <c r="E59" s="4">
        <v>611</v>
      </c>
    </row>
    <row r="60" spans="1:5" x14ac:dyDescent="0.35">
      <c r="A60" t="s">
        <v>101</v>
      </c>
      <c r="B60" s="2">
        <v>9903</v>
      </c>
      <c r="C60" s="4">
        <v>63752</v>
      </c>
      <c r="D60" s="4">
        <v>5920</v>
      </c>
      <c r="E60" s="4">
        <v>534</v>
      </c>
    </row>
    <row r="61" spans="1:5" x14ac:dyDescent="0.35">
      <c r="A61" t="s">
        <v>102</v>
      </c>
      <c r="B61" s="2">
        <v>9527</v>
      </c>
      <c r="C61" s="4">
        <v>55299</v>
      </c>
      <c r="D61" s="4">
        <v>1392</v>
      </c>
      <c r="E61" s="4">
        <v>437</v>
      </c>
    </row>
    <row r="62" spans="1:5" x14ac:dyDescent="0.35">
      <c r="A62" t="s">
        <v>103</v>
      </c>
      <c r="B62" s="2">
        <v>9549</v>
      </c>
      <c r="C62" s="4">
        <v>20473</v>
      </c>
      <c r="D62" s="4">
        <v>1662</v>
      </c>
      <c r="E62" s="4">
        <v>403</v>
      </c>
    </row>
    <row r="63" spans="1:5" x14ac:dyDescent="0.35">
      <c r="A63" t="s">
        <v>104</v>
      </c>
      <c r="B63" s="2">
        <v>9904</v>
      </c>
      <c r="C63" s="4">
        <v>39456</v>
      </c>
      <c r="D63" s="4">
        <v>5869</v>
      </c>
      <c r="E63" s="4">
        <v>336</v>
      </c>
    </row>
    <row r="64" spans="1:5" x14ac:dyDescent="0.35">
      <c r="A64" t="s">
        <v>105</v>
      </c>
      <c r="B64" s="2">
        <v>9680</v>
      </c>
      <c r="C64" s="4">
        <v>48624</v>
      </c>
      <c r="D64" s="4">
        <v>4358</v>
      </c>
      <c r="E64" s="4">
        <v>205</v>
      </c>
    </row>
    <row r="65" spans="1:5" x14ac:dyDescent="0.35">
      <c r="A65" t="s">
        <v>106</v>
      </c>
      <c r="B65" s="2">
        <v>9780</v>
      </c>
      <c r="C65" s="4">
        <v>22229</v>
      </c>
      <c r="D65" s="4">
        <v>1157</v>
      </c>
      <c r="E65" s="4">
        <v>275</v>
      </c>
    </row>
    <row r="66" spans="1:5" x14ac:dyDescent="0.35">
      <c r="A66" t="s">
        <v>107</v>
      </c>
      <c r="B66" s="2">
        <v>9101</v>
      </c>
      <c r="C66" s="4">
        <v>38158</v>
      </c>
      <c r="D66" s="4">
        <v>4888</v>
      </c>
      <c r="E66" s="4">
        <v>125</v>
      </c>
    </row>
    <row r="67" spans="1:5" x14ac:dyDescent="0.35">
      <c r="A67" t="s">
        <v>108</v>
      </c>
      <c r="B67" s="2">
        <v>9460</v>
      </c>
      <c r="C67" s="4">
        <v>29249</v>
      </c>
      <c r="D67" s="4">
        <v>1205</v>
      </c>
      <c r="E67" s="4">
        <v>151</v>
      </c>
    </row>
    <row r="68" spans="1:5" x14ac:dyDescent="0.35">
      <c r="A68" t="s">
        <v>109</v>
      </c>
      <c r="B68" s="2">
        <v>9150</v>
      </c>
      <c r="C68" s="4">
        <v>10861</v>
      </c>
      <c r="D68" s="4">
        <v>1344</v>
      </c>
      <c r="E68" s="4">
        <v>447</v>
      </c>
    </row>
    <row r="69" spans="1:5" x14ac:dyDescent="0.35">
      <c r="A69" t="s">
        <v>110</v>
      </c>
      <c r="B69" s="2">
        <v>9330</v>
      </c>
      <c r="C69" s="4">
        <v>12934</v>
      </c>
      <c r="D69" s="4">
        <v>4057</v>
      </c>
      <c r="E69" s="4">
        <v>635</v>
      </c>
    </row>
    <row r="70" spans="1:5" x14ac:dyDescent="0.35">
      <c r="A70" t="s">
        <v>111</v>
      </c>
      <c r="B70" s="2">
        <v>9304</v>
      </c>
      <c r="C70" s="4">
        <v>45801</v>
      </c>
      <c r="D70" s="4">
        <v>4216</v>
      </c>
      <c r="E70" s="4">
        <v>633</v>
      </c>
    </row>
    <row r="71" spans="1:5" x14ac:dyDescent="0.35">
      <c r="A71" t="s">
        <v>112</v>
      </c>
      <c r="B71" s="2">
        <v>9995</v>
      </c>
      <c r="C71" s="4">
        <v>54603</v>
      </c>
      <c r="D71" s="4">
        <v>4893</v>
      </c>
      <c r="E71" s="4">
        <v>254</v>
      </c>
    </row>
    <row r="72" spans="1:5" x14ac:dyDescent="0.35">
      <c r="A72" t="s">
        <v>113</v>
      </c>
      <c r="B72" s="2">
        <v>9127</v>
      </c>
      <c r="C72" s="4">
        <v>16427</v>
      </c>
      <c r="D72" s="4">
        <v>5912</v>
      </c>
      <c r="E72" s="4">
        <v>272</v>
      </c>
    </row>
    <row r="73" spans="1:5" x14ac:dyDescent="0.35">
      <c r="A73" t="s">
        <v>114</v>
      </c>
      <c r="B73" s="2">
        <v>9637</v>
      </c>
      <c r="C73" s="4">
        <v>54300</v>
      </c>
      <c r="D73" s="4">
        <v>4665</v>
      </c>
      <c r="E73" s="4">
        <v>309</v>
      </c>
    </row>
    <row r="74" spans="1:5" x14ac:dyDescent="0.35">
      <c r="A74" t="s">
        <v>115</v>
      </c>
      <c r="B74" s="2">
        <v>9871</v>
      </c>
      <c r="C74" s="4">
        <v>20062</v>
      </c>
      <c r="D74" s="4">
        <v>1470</v>
      </c>
      <c r="E74" s="4">
        <v>415</v>
      </c>
    </row>
    <row r="75" spans="1:5" x14ac:dyDescent="0.35">
      <c r="A75" t="s">
        <v>116</v>
      </c>
      <c r="B75" s="2">
        <v>9139</v>
      </c>
      <c r="C75" s="4">
        <v>10851</v>
      </c>
      <c r="D75" s="4">
        <v>2479</v>
      </c>
      <c r="E75" s="4">
        <v>331</v>
      </c>
    </row>
    <row r="76" spans="1:5" x14ac:dyDescent="0.35">
      <c r="A76" t="s">
        <v>117</v>
      </c>
      <c r="B76" s="2">
        <v>9922</v>
      </c>
      <c r="C76" s="4">
        <v>57275</v>
      </c>
      <c r="D76" s="4">
        <v>1761</v>
      </c>
      <c r="E76" s="4">
        <v>458</v>
      </c>
    </row>
    <row r="77" spans="1:5" x14ac:dyDescent="0.35">
      <c r="A77" t="s">
        <v>118</v>
      </c>
      <c r="B77" s="2">
        <v>9602</v>
      </c>
      <c r="C77" s="4">
        <v>64940</v>
      </c>
      <c r="D77" s="4">
        <v>2154</v>
      </c>
      <c r="E77" s="4">
        <v>161</v>
      </c>
    </row>
    <row r="78" spans="1:5" x14ac:dyDescent="0.35">
      <c r="A78" t="s">
        <v>119</v>
      </c>
      <c r="B78" s="2">
        <v>9800</v>
      </c>
      <c r="C78" s="4">
        <v>60922</v>
      </c>
      <c r="D78" s="4">
        <v>4551</v>
      </c>
      <c r="E78" s="4">
        <v>110</v>
      </c>
    </row>
    <row r="79" spans="1:5" x14ac:dyDescent="0.35">
      <c r="A79" t="s">
        <v>120</v>
      </c>
      <c r="B79" s="2">
        <v>9374</v>
      </c>
      <c r="C79" s="4">
        <v>65305</v>
      </c>
      <c r="D79" s="4">
        <v>1418</v>
      </c>
      <c r="E79" s="4">
        <v>430</v>
      </c>
    </row>
    <row r="80" spans="1:5" x14ac:dyDescent="0.35">
      <c r="A80" t="s">
        <v>121</v>
      </c>
      <c r="B80" s="2">
        <v>9632</v>
      </c>
      <c r="C80" s="4">
        <v>27190</v>
      </c>
      <c r="D80" s="4">
        <v>2985</v>
      </c>
      <c r="E80" s="4">
        <v>502</v>
      </c>
    </row>
    <row r="81" spans="1:5" x14ac:dyDescent="0.35">
      <c r="A81" t="s">
        <v>122</v>
      </c>
      <c r="B81" s="2">
        <v>9118</v>
      </c>
      <c r="C81" s="4">
        <v>21252</v>
      </c>
      <c r="D81" s="4">
        <v>1941</v>
      </c>
      <c r="E81" s="4">
        <v>426</v>
      </c>
    </row>
    <row r="82" spans="1:5" x14ac:dyDescent="0.35">
      <c r="A82" t="s">
        <v>123</v>
      </c>
      <c r="B82" s="2">
        <v>9613</v>
      </c>
      <c r="C82" s="4">
        <v>26528</v>
      </c>
      <c r="D82" s="4">
        <v>5232</v>
      </c>
      <c r="E82" s="4">
        <v>586</v>
      </c>
    </row>
    <row r="83" spans="1:5" x14ac:dyDescent="0.35">
      <c r="A83" t="s">
        <v>124</v>
      </c>
      <c r="B83" s="2">
        <v>9554</v>
      </c>
      <c r="C83" s="4">
        <v>55653</v>
      </c>
      <c r="D83" s="4">
        <v>1461</v>
      </c>
      <c r="E83" s="4">
        <v>608</v>
      </c>
    </row>
    <row r="84" spans="1:5" x14ac:dyDescent="0.35">
      <c r="A84" t="s">
        <v>125</v>
      </c>
      <c r="B84" s="2">
        <v>9023</v>
      </c>
      <c r="C84" s="4">
        <v>32132</v>
      </c>
      <c r="D84" s="4">
        <v>4320</v>
      </c>
      <c r="E84" s="4">
        <v>429</v>
      </c>
    </row>
    <row r="85" spans="1:5" x14ac:dyDescent="0.35">
      <c r="A85" t="s">
        <v>126</v>
      </c>
      <c r="B85" s="2">
        <v>9573</v>
      </c>
      <c r="C85" s="4">
        <v>15330</v>
      </c>
      <c r="D85" s="4">
        <v>6431</v>
      </c>
      <c r="E85" s="4">
        <v>492</v>
      </c>
    </row>
    <row r="86" spans="1:5" x14ac:dyDescent="0.35">
      <c r="A86" t="s">
        <v>127</v>
      </c>
      <c r="B86" s="2">
        <v>9666</v>
      </c>
      <c r="C86" s="4">
        <v>18011</v>
      </c>
      <c r="D86" s="4">
        <v>2941</v>
      </c>
      <c r="E86" s="4">
        <v>157</v>
      </c>
    </row>
    <row r="87" spans="1:5" x14ac:dyDescent="0.35">
      <c r="A87" t="s">
        <v>128</v>
      </c>
      <c r="B87" s="2">
        <v>9117</v>
      </c>
      <c r="C87" s="4">
        <v>10303</v>
      </c>
      <c r="D87" s="4">
        <v>5497</v>
      </c>
      <c r="E87" s="4">
        <v>259</v>
      </c>
    </row>
    <row r="88" spans="1:5" x14ac:dyDescent="0.35">
      <c r="A88" t="s">
        <v>129</v>
      </c>
      <c r="B88" s="2">
        <v>9195</v>
      </c>
      <c r="C88" s="4">
        <v>14647</v>
      </c>
      <c r="D88" s="4">
        <v>3188</v>
      </c>
      <c r="E88" s="4">
        <v>432</v>
      </c>
    </row>
    <row r="89" spans="1:5" x14ac:dyDescent="0.35">
      <c r="A89" t="s">
        <v>130</v>
      </c>
      <c r="B89" s="2">
        <v>9215</v>
      </c>
      <c r="C89" s="4">
        <v>28682</v>
      </c>
      <c r="D89" s="4">
        <v>2290</v>
      </c>
      <c r="E89" s="4">
        <v>620</v>
      </c>
    </row>
    <row r="90" spans="1:5" x14ac:dyDescent="0.35">
      <c r="A90" t="s">
        <v>131</v>
      </c>
      <c r="B90" s="2">
        <v>9708</v>
      </c>
      <c r="C90" s="4">
        <v>51333</v>
      </c>
      <c r="D90" s="4">
        <v>5407</v>
      </c>
      <c r="E90" s="4">
        <v>378</v>
      </c>
    </row>
    <row r="91" spans="1:5" x14ac:dyDescent="0.35">
      <c r="A91" t="s">
        <v>132</v>
      </c>
      <c r="B91" s="2">
        <v>9366</v>
      </c>
      <c r="C91" s="4">
        <v>45349</v>
      </c>
      <c r="D91" s="4">
        <v>2825</v>
      </c>
      <c r="E91" s="4">
        <v>364</v>
      </c>
    </row>
    <row r="92" spans="1:5" x14ac:dyDescent="0.35">
      <c r="A92" t="s">
        <v>133</v>
      </c>
      <c r="B92" s="2">
        <v>9392</v>
      </c>
      <c r="C92" s="4">
        <v>12385</v>
      </c>
      <c r="D92" s="4">
        <v>1497</v>
      </c>
      <c r="E92" s="4">
        <v>539</v>
      </c>
    </row>
    <row r="93" spans="1:5" x14ac:dyDescent="0.35">
      <c r="A93" t="s">
        <v>134</v>
      </c>
      <c r="B93" s="2">
        <v>9719</v>
      </c>
      <c r="C93" s="4">
        <v>55566</v>
      </c>
      <c r="D93" s="4">
        <v>2425</v>
      </c>
      <c r="E93" s="4">
        <v>482</v>
      </c>
    </row>
    <row r="94" spans="1:5" x14ac:dyDescent="0.35">
      <c r="A94" t="s">
        <v>135</v>
      </c>
      <c r="B94" s="2">
        <v>9475</v>
      </c>
      <c r="C94" s="4">
        <v>52381</v>
      </c>
      <c r="D94" s="4">
        <v>4670</v>
      </c>
      <c r="E94" s="4">
        <v>339</v>
      </c>
    </row>
    <row r="95" spans="1:5" x14ac:dyDescent="0.35">
      <c r="A95" t="s">
        <v>136</v>
      </c>
      <c r="B95" s="2">
        <v>9260</v>
      </c>
      <c r="C95" s="4">
        <v>39892</v>
      </c>
      <c r="D95" s="4">
        <v>1919</v>
      </c>
      <c r="E95" s="4">
        <v>425</v>
      </c>
    </row>
    <row r="96" spans="1:5" x14ac:dyDescent="0.35">
      <c r="A96" t="s">
        <v>137</v>
      </c>
      <c r="B96" s="2">
        <v>9947</v>
      </c>
      <c r="C96" s="4">
        <v>14524</v>
      </c>
      <c r="D96" s="4">
        <v>1433</v>
      </c>
      <c r="E96" s="4">
        <v>143</v>
      </c>
    </row>
    <row r="97" spans="1:5" x14ac:dyDescent="0.35">
      <c r="A97" t="s">
        <v>138</v>
      </c>
      <c r="B97" s="2">
        <v>9247</v>
      </c>
      <c r="C97" s="4">
        <v>57642</v>
      </c>
      <c r="D97" s="4">
        <v>5807</v>
      </c>
      <c r="E97" s="4">
        <v>100</v>
      </c>
    </row>
    <row r="98" spans="1:5" x14ac:dyDescent="0.35">
      <c r="A98" t="s">
        <v>139</v>
      </c>
      <c r="B98" s="2">
        <v>9038</v>
      </c>
      <c r="C98" s="4">
        <v>65731</v>
      </c>
      <c r="D98" s="4">
        <v>3574</v>
      </c>
      <c r="E98" s="4">
        <v>580</v>
      </c>
    </row>
    <row r="99" spans="1:5" x14ac:dyDescent="0.35">
      <c r="A99" t="s">
        <v>140</v>
      </c>
      <c r="B99" s="2">
        <v>9042</v>
      </c>
      <c r="C99" s="4">
        <v>29768</v>
      </c>
      <c r="D99" s="4">
        <v>1521</v>
      </c>
      <c r="E99" s="4">
        <v>121</v>
      </c>
    </row>
    <row r="100" spans="1:5" x14ac:dyDescent="0.35">
      <c r="A100" t="s">
        <v>141</v>
      </c>
      <c r="B100" s="2">
        <v>9515</v>
      </c>
      <c r="C100" s="4">
        <v>31618</v>
      </c>
      <c r="D100" s="4">
        <v>3979</v>
      </c>
      <c r="E100" s="4">
        <v>336</v>
      </c>
    </row>
    <row r="101" spans="1:5" x14ac:dyDescent="0.35">
      <c r="A101" t="s">
        <v>142</v>
      </c>
      <c r="B101" s="2">
        <v>9017</v>
      </c>
      <c r="C101" s="4">
        <v>57722</v>
      </c>
      <c r="D101" s="4">
        <v>1733</v>
      </c>
      <c r="E101" s="4">
        <v>657</v>
      </c>
    </row>
    <row r="102" spans="1:5" x14ac:dyDescent="0.35">
      <c r="A102" t="s">
        <v>143</v>
      </c>
      <c r="B102" s="2">
        <v>9033</v>
      </c>
      <c r="C102" s="4">
        <v>22156</v>
      </c>
      <c r="D102" s="4">
        <v>3074</v>
      </c>
      <c r="E102" s="4">
        <v>147</v>
      </c>
    </row>
    <row r="103" spans="1:5" x14ac:dyDescent="0.35">
      <c r="A103" t="s">
        <v>144</v>
      </c>
      <c r="B103" s="2">
        <v>9350</v>
      </c>
      <c r="C103" s="4">
        <v>21855</v>
      </c>
      <c r="D103" s="4">
        <v>5299</v>
      </c>
      <c r="E103" s="4">
        <v>245</v>
      </c>
    </row>
    <row r="104" spans="1:5" x14ac:dyDescent="0.35">
      <c r="A104" t="s">
        <v>145</v>
      </c>
      <c r="B104" s="2">
        <v>9629</v>
      </c>
      <c r="C104" s="4">
        <v>29347</v>
      </c>
      <c r="D104" s="4">
        <v>1391</v>
      </c>
      <c r="E104" s="4">
        <v>244</v>
      </c>
    </row>
    <row r="105" spans="1:5" x14ac:dyDescent="0.35">
      <c r="A105" t="s">
        <v>146</v>
      </c>
      <c r="B105" s="2">
        <v>9675</v>
      </c>
      <c r="C105" s="4">
        <v>34986</v>
      </c>
      <c r="D105" s="4">
        <v>5672</v>
      </c>
      <c r="E105" s="4">
        <v>444</v>
      </c>
    </row>
    <row r="106" spans="1:5" x14ac:dyDescent="0.35">
      <c r="A106" t="s">
        <v>147</v>
      </c>
      <c r="B106" s="2">
        <v>9727</v>
      </c>
      <c r="C106" s="4">
        <v>12526</v>
      </c>
      <c r="D106" s="4">
        <v>4866</v>
      </c>
      <c r="E106" s="4">
        <v>267</v>
      </c>
    </row>
    <row r="107" spans="1:5" x14ac:dyDescent="0.35">
      <c r="A107" t="s">
        <v>148</v>
      </c>
      <c r="B107" s="2">
        <v>9562</v>
      </c>
      <c r="C107" s="4">
        <v>42405</v>
      </c>
      <c r="D107" s="4">
        <v>4497</v>
      </c>
      <c r="E107" s="4">
        <v>416</v>
      </c>
    </row>
    <row r="108" spans="1:5" x14ac:dyDescent="0.35">
      <c r="A108" t="s">
        <v>149</v>
      </c>
      <c r="B108" s="2">
        <v>9370</v>
      </c>
      <c r="C108" s="4">
        <v>34901</v>
      </c>
      <c r="D108" s="4">
        <v>2317</v>
      </c>
      <c r="E108" s="4">
        <v>470</v>
      </c>
    </row>
    <row r="109" spans="1:5" x14ac:dyDescent="0.35">
      <c r="A109" t="s">
        <v>150</v>
      </c>
      <c r="B109" s="2">
        <v>9619</v>
      </c>
      <c r="C109" s="4">
        <v>54547</v>
      </c>
      <c r="D109" s="4">
        <v>5803</v>
      </c>
      <c r="E109" s="4">
        <v>499</v>
      </c>
    </row>
    <row r="110" spans="1:5" x14ac:dyDescent="0.35">
      <c r="A110" t="s">
        <v>151</v>
      </c>
      <c r="B110" s="2">
        <v>9364</v>
      </c>
      <c r="C110" s="4">
        <v>27507</v>
      </c>
      <c r="D110" s="4">
        <v>6547</v>
      </c>
      <c r="E110" s="4">
        <v>497</v>
      </c>
    </row>
    <row r="111" spans="1:5" x14ac:dyDescent="0.35">
      <c r="A111" t="s">
        <v>152</v>
      </c>
      <c r="B111" s="2">
        <v>9116</v>
      </c>
      <c r="C111" s="4">
        <v>19820</v>
      </c>
      <c r="D111" s="4">
        <v>5467</v>
      </c>
      <c r="E111" s="4">
        <v>446</v>
      </c>
    </row>
    <row r="112" spans="1:5" x14ac:dyDescent="0.35">
      <c r="A112" t="s">
        <v>153</v>
      </c>
      <c r="B112" s="2">
        <v>9346</v>
      </c>
      <c r="C112" s="4">
        <v>38149</v>
      </c>
      <c r="D112" s="4">
        <v>4817</v>
      </c>
      <c r="E112" s="4">
        <v>572</v>
      </c>
    </row>
    <row r="113" spans="1:5" x14ac:dyDescent="0.35">
      <c r="A113" t="s">
        <v>154</v>
      </c>
      <c r="B113" s="2">
        <v>9984</v>
      </c>
      <c r="C113" s="4">
        <v>33361</v>
      </c>
      <c r="D113" s="4">
        <v>1343</v>
      </c>
      <c r="E113" s="4">
        <v>137</v>
      </c>
    </row>
    <row r="114" spans="1:5" x14ac:dyDescent="0.35">
      <c r="A114" t="s">
        <v>155</v>
      </c>
      <c r="B114" s="2">
        <v>9935</v>
      </c>
      <c r="C114" s="4">
        <v>60786</v>
      </c>
      <c r="D114" s="4">
        <v>4894</v>
      </c>
      <c r="E114" s="4">
        <v>233</v>
      </c>
    </row>
    <row r="115" spans="1:5" x14ac:dyDescent="0.35">
      <c r="A115" t="s">
        <v>156</v>
      </c>
      <c r="B115" s="2">
        <v>9855</v>
      </c>
      <c r="C115" s="4">
        <v>30578</v>
      </c>
      <c r="D115" s="4">
        <v>3434</v>
      </c>
      <c r="E115" s="4">
        <v>423</v>
      </c>
    </row>
    <row r="116" spans="1:5" x14ac:dyDescent="0.35">
      <c r="A116" t="s">
        <v>157</v>
      </c>
      <c r="B116" s="2">
        <v>9504</v>
      </c>
      <c r="C116" s="4">
        <v>52734</v>
      </c>
      <c r="D116" s="4">
        <v>4305</v>
      </c>
      <c r="E116" s="4">
        <v>463</v>
      </c>
    </row>
    <row r="117" spans="1:5" x14ac:dyDescent="0.35">
      <c r="A117" t="s">
        <v>158</v>
      </c>
      <c r="B117" s="2">
        <v>9973</v>
      </c>
      <c r="C117" s="4">
        <v>52630</v>
      </c>
      <c r="D117" s="4">
        <v>2887</v>
      </c>
      <c r="E117" s="4">
        <v>131</v>
      </c>
    </row>
    <row r="118" spans="1:5" x14ac:dyDescent="0.35">
      <c r="A118" t="s">
        <v>159</v>
      </c>
      <c r="B118" s="2">
        <v>9314</v>
      </c>
      <c r="C118" s="4">
        <v>42938</v>
      </c>
      <c r="D118" s="4">
        <v>4400</v>
      </c>
      <c r="E118" s="4">
        <v>118</v>
      </c>
    </row>
    <row r="119" spans="1:5" x14ac:dyDescent="0.35">
      <c r="A119" t="s">
        <v>160</v>
      </c>
      <c r="B119" s="2">
        <v>9249</v>
      </c>
      <c r="C119" s="4">
        <v>56821</v>
      </c>
      <c r="D119" s="4">
        <v>2762</v>
      </c>
      <c r="E119" s="4">
        <v>174</v>
      </c>
    </row>
    <row r="120" spans="1:5" x14ac:dyDescent="0.35">
      <c r="A120" t="s">
        <v>161</v>
      </c>
      <c r="B120" s="2">
        <v>9650</v>
      </c>
      <c r="C120" s="4">
        <v>42190</v>
      </c>
      <c r="D120" s="4">
        <v>3721</v>
      </c>
      <c r="E120" s="4">
        <v>524</v>
      </c>
    </row>
    <row r="121" spans="1:5" x14ac:dyDescent="0.35">
      <c r="A121" t="s">
        <v>162</v>
      </c>
      <c r="B121" s="2">
        <v>9742</v>
      </c>
      <c r="C121" s="4">
        <v>49146</v>
      </c>
      <c r="D121" s="4">
        <v>6347</v>
      </c>
      <c r="E121" s="4">
        <v>456</v>
      </c>
    </row>
    <row r="122" spans="1:5" x14ac:dyDescent="0.35">
      <c r="A122" t="s">
        <v>163</v>
      </c>
      <c r="B122" s="2">
        <v>9280</v>
      </c>
      <c r="C122" s="4">
        <v>34458</v>
      </c>
      <c r="D122" s="4">
        <v>4659</v>
      </c>
      <c r="E122" s="4">
        <v>283</v>
      </c>
    </row>
    <row r="123" spans="1:5" x14ac:dyDescent="0.35">
      <c r="A123" t="s">
        <v>164</v>
      </c>
      <c r="B123" s="2">
        <v>9488</v>
      </c>
      <c r="C123" s="4">
        <v>51380</v>
      </c>
      <c r="D123" s="4">
        <v>5976</v>
      </c>
      <c r="E123" s="4">
        <v>125</v>
      </c>
    </row>
    <row r="124" spans="1:5" x14ac:dyDescent="0.35">
      <c r="A124" t="s">
        <v>165</v>
      </c>
      <c r="B124" s="2">
        <v>9520</v>
      </c>
      <c r="C124" s="4">
        <v>55729</v>
      </c>
      <c r="D124" s="4">
        <v>5726</v>
      </c>
      <c r="E124" s="4">
        <v>152</v>
      </c>
    </row>
    <row r="125" spans="1:5" x14ac:dyDescent="0.35">
      <c r="A125" t="s">
        <v>166</v>
      </c>
      <c r="B125" s="2">
        <v>9556</v>
      </c>
      <c r="C125" s="4">
        <v>54944</v>
      </c>
      <c r="D125" s="4">
        <v>1786</v>
      </c>
      <c r="E125" s="4">
        <v>527</v>
      </c>
    </row>
    <row r="126" spans="1:5" x14ac:dyDescent="0.35">
      <c r="A126" t="s">
        <v>167</v>
      </c>
      <c r="B126" s="2">
        <v>9548</v>
      </c>
      <c r="C126" s="4">
        <v>25510</v>
      </c>
      <c r="D126" s="4">
        <v>1906</v>
      </c>
      <c r="E126" s="4">
        <v>498</v>
      </c>
    </row>
    <row r="127" spans="1:5" x14ac:dyDescent="0.35">
      <c r="A127" t="s">
        <v>168</v>
      </c>
      <c r="B127" s="2">
        <v>9976</v>
      </c>
      <c r="C127" s="4">
        <v>50171</v>
      </c>
      <c r="D127" s="4">
        <v>5599</v>
      </c>
      <c r="E127" s="4">
        <v>595</v>
      </c>
    </row>
    <row r="128" spans="1:5" x14ac:dyDescent="0.35">
      <c r="A128" t="s">
        <v>169</v>
      </c>
      <c r="B128" s="2">
        <v>9169</v>
      </c>
      <c r="C128" s="4">
        <v>27644</v>
      </c>
      <c r="D128" s="4">
        <v>5998</v>
      </c>
      <c r="E128" s="4">
        <v>276</v>
      </c>
    </row>
    <row r="129" spans="1:5" x14ac:dyDescent="0.35">
      <c r="A129" t="s">
        <v>170</v>
      </c>
      <c r="B129" s="2">
        <v>9478</v>
      </c>
      <c r="C129" s="4">
        <v>24659</v>
      </c>
      <c r="D129" s="4">
        <v>5133</v>
      </c>
      <c r="E129" s="4">
        <v>289</v>
      </c>
    </row>
    <row r="130" spans="1:5" x14ac:dyDescent="0.35">
      <c r="A130" t="s">
        <v>171</v>
      </c>
      <c r="B130" s="2">
        <v>9908</v>
      </c>
      <c r="C130" s="4">
        <v>23997</v>
      </c>
      <c r="D130" s="4">
        <v>1248</v>
      </c>
      <c r="E130" s="4">
        <v>369</v>
      </c>
    </row>
    <row r="131" spans="1:5" x14ac:dyDescent="0.35">
      <c r="A131" t="s">
        <v>172</v>
      </c>
      <c r="B131" s="2">
        <v>9409</v>
      </c>
      <c r="C131" s="4">
        <v>45744</v>
      </c>
      <c r="D131" s="4">
        <v>4428</v>
      </c>
      <c r="E131" s="4">
        <v>257</v>
      </c>
    </row>
    <row r="132" spans="1:5" x14ac:dyDescent="0.35">
      <c r="A132" t="s">
        <v>173</v>
      </c>
      <c r="B132" s="2">
        <v>9148</v>
      </c>
      <c r="C132" s="4">
        <v>44799</v>
      </c>
      <c r="D132" s="4">
        <v>1895</v>
      </c>
      <c r="E132" s="4">
        <v>419</v>
      </c>
    </row>
    <row r="133" spans="1:5" x14ac:dyDescent="0.35">
      <c r="A133" t="s">
        <v>174</v>
      </c>
      <c r="B133" s="2">
        <v>9506</v>
      </c>
      <c r="C133" s="4">
        <v>56156</v>
      </c>
      <c r="D133" s="4">
        <v>2621</v>
      </c>
      <c r="E133" s="4">
        <v>577</v>
      </c>
    </row>
    <row r="134" spans="1:5" x14ac:dyDescent="0.35">
      <c r="A134" t="s">
        <v>175</v>
      </c>
      <c r="B134" s="2">
        <v>9540</v>
      </c>
      <c r="C134" s="4">
        <v>17474</v>
      </c>
      <c r="D134" s="4">
        <v>4524</v>
      </c>
      <c r="E134" s="4">
        <v>575</v>
      </c>
    </row>
    <row r="135" spans="1:5" x14ac:dyDescent="0.35">
      <c r="A135" t="s">
        <v>176</v>
      </c>
      <c r="B135" s="2">
        <v>9793</v>
      </c>
      <c r="C135" s="4">
        <v>46688</v>
      </c>
      <c r="D135" s="4">
        <v>4696</v>
      </c>
      <c r="E135" s="4">
        <v>509</v>
      </c>
    </row>
    <row r="136" spans="1:5" x14ac:dyDescent="0.35">
      <c r="A136" t="s">
        <v>177</v>
      </c>
      <c r="B136" s="2">
        <v>9878</v>
      </c>
      <c r="C136" s="4">
        <v>11024</v>
      </c>
      <c r="D136" s="4">
        <v>4919</v>
      </c>
      <c r="E136" s="4">
        <v>262</v>
      </c>
    </row>
    <row r="137" spans="1:5" x14ac:dyDescent="0.35">
      <c r="A137" t="s">
        <v>178</v>
      </c>
      <c r="B137" s="2">
        <v>9435</v>
      </c>
      <c r="C137" s="4">
        <v>31539</v>
      </c>
      <c r="D137" s="4">
        <v>6036</v>
      </c>
      <c r="E137" s="4">
        <v>105</v>
      </c>
    </row>
    <row r="138" spans="1:5" x14ac:dyDescent="0.35">
      <c r="A138" t="s">
        <v>179</v>
      </c>
      <c r="B138" s="2">
        <v>9285</v>
      </c>
      <c r="C138" s="4">
        <v>25130</v>
      </c>
      <c r="D138" s="4">
        <v>3323</v>
      </c>
      <c r="E138" s="4">
        <v>607</v>
      </c>
    </row>
    <row r="139" spans="1:5" x14ac:dyDescent="0.35">
      <c r="A139" t="s">
        <v>180</v>
      </c>
      <c r="B139" s="2">
        <v>9957</v>
      </c>
      <c r="C139" s="4">
        <v>49360</v>
      </c>
      <c r="D139" s="4">
        <v>1247</v>
      </c>
      <c r="E139" s="4">
        <v>127</v>
      </c>
    </row>
    <row r="140" spans="1:5" x14ac:dyDescent="0.35">
      <c r="A140" t="s">
        <v>181</v>
      </c>
      <c r="B140" s="2">
        <v>9105</v>
      </c>
      <c r="C140" s="4">
        <v>26191</v>
      </c>
      <c r="D140" s="4">
        <v>4476</v>
      </c>
      <c r="E140" s="4">
        <v>405</v>
      </c>
    </row>
    <row r="141" spans="1:5" x14ac:dyDescent="0.35">
      <c r="A141" t="s">
        <v>182</v>
      </c>
      <c r="B141" s="2">
        <v>9652</v>
      </c>
      <c r="C141" s="4">
        <v>22236</v>
      </c>
      <c r="D141" s="4">
        <v>3060</v>
      </c>
      <c r="E141" s="4">
        <v>450</v>
      </c>
    </row>
    <row r="142" spans="1:5" x14ac:dyDescent="0.35">
      <c r="A142" t="s">
        <v>183</v>
      </c>
      <c r="B142" s="2">
        <v>9797</v>
      </c>
      <c r="C142" s="4">
        <v>30767</v>
      </c>
      <c r="D142" s="4">
        <v>4940</v>
      </c>
      <c r="E142" s="4">
        <v>589</v>
      </c>
    </row>
    <row r="143" spans="1:5" x14ac:dyDescent="0.35">
      <c r="A143" t="s">
        <v>184</v>
      </c>
      <c r="B143" s="2">
        <v>9806</v>
      </c>
      <c r="C143" s="4">
        <v>55008</v>
      </c>
      <c r="D143" s="4">
        <v>3577</v>
      </c>
      <c r="E143" s="4">
        <v>279</v>
      </c>
    </row>
    <row r="144" spans="1:5" x14ac:dyDescent="0.35">
      <c r="A144" t="s">
        <v>185</v>
      </c>
      <c r="B144" s="2">
        <v>9315</v>
      </c>
      <c r="C144" s="4">
        <v>30307</v>
      </c>
      <c r="D144" s="4">
        <v>3471</v>
      </c>
      <c r="E144" s="4">
        <v>420</v>
      </c>
    </row>
    <row r="145" spans="1:5" x14ac:dyDescent="0.35">
      <c r="A145" t="s">
        <v>186</v>
      </c>
      <c r="B145" s="2">
        <v>9776</v>
      </c>
      <c r="C145" s="4">
        <v>57314</v>
      </c>
      <c r="D145" s="4">
        <v>5176</v>
      </c>
      <c r="E145" s="4">
        <v>604</v>
      </c>
    </row>
    <row r="146" spans="1:5" x14ac:dyDescent="0.35">
      <c r="A146" t="s">
        <v>187</v>
      </c>
      <c r="B146" s="2">
        <v>9367</v>
      </c>
      <c r="C146" s="4">
        <v>50359</v>
      </c>
      <c r="D146" s="4">
        <v>5250</v>
      </c>
      <c r="E146" s="4">
        <v>449</v>
      </c>
    </row>
    <row r="147" spans="1:5" x14ac:dyDescent="0.35">
      <c r="A147" t="s">
        <v>188</v>
      </c>
      <c r="B147" s="2">
        <v>9210</v>
      </c>
      <c r="C147" s="4">
        <v>40543</v>
      </c>
      <c r="D147" s="4">
        <v>3999</v>
      </c>
      <c r="E147" s="4">
        <v>121</v>
      </c>
    </row>
    <row r="148" spans="1:5" x14ac:dyDescent="0.35">
      <c r="A148" t="s">
        <v>189</v>
      </c>
      <c r="B148" s="2">
        <v>9411</v>
      </c>
      <c r="C148" s="4">
        <v>23009</v>
      </c>
      <c r="D148" s="4">
        <v>4453</v>
      </c>
      <c r="E148" s="4">
        <v>310</v>
      </c>
    </row>
    <row r="149" spans="1:5" x14ac:dyDescent="0.35">
      <c r="A149" t="s">
        <v>190</v>
      </c>
      <c r="B149" s="2">
        <v>9149</v>
      </c>
      <c r="C149" s="4">
        <v>57456</v>
      </c>
      <c r="D149" s="4">
        <v>2771</v>
      </c>
      <c r="E149" s="4">
        <v>544</v>
      </c>
    </row>
    <row r="150" spans="1:5" x14ac:dyDescent="0.35">
      <c r="A150" t="s">
        <v>191</v>
      </c>
      <c r="B150" s="2">
        <v>9050</v>
      </c>
      <c r="C150" s="4">
        <v>14504</v>
      </c>
      <c r="D150" s="4">
        <v>2428</v>
      </c>
      <c r="E150" s="4">
        <v>598</v>
      </c>
    </row>
    <row r="151" spans="1:5" x14ac:dyDescent="0.35">
      <c r="A151" t="s">
        <v>192</v>
      </c>
      <c r="B151" s="2">
        <v>9628</v>
      </c>
      <c r="C151" s="4">
        <v>40533</v>
      </c>
      <c r="D151" s="4">
        <v>6299</v>
      </c>
      <c r="E151" s="4">
        <v>140</v>
      </c>
    </row>
    <row r="152" spans="1:5" x14ac:dyDescent="0.35">
      <c r="A152" t="s">
        <v>193</v>
      </c>
      <c r="B152" s="2">
        <v>9170</v>
      </c>
      <c r="C152" s="4">
        <v>40196</v>
      </c>
      <c r="D152" s="4">
        <v>3758</v>
      </c>
      <c r="E152" s="4">
        <v>243</v>
      </c>
    </row>
    <row r="153" spans="1:5" x14ac:dyDescent="0.35">
      <c r="A153" t="s">
        <v>194</v>
      </c>
      <c r="B153" s="2">
        <v>9624</v>
      </c>
      <c r="C153" s="4">
        <v>50452</v>
      </c>
      <c r="D153" s="4">
        <v>3695</v>
      </c>
      <c r="E153" s="4">
        <v>226</v>
      </c>
    </row>
    <row r="154" spans="1:5" x14ac:dyDescent="0.35">
      <c r="A154" t="s">
        <v>195</v>
      </c>
      <c r="B154" s="2">
        <v>9519</v>
      </c>
      <c r="C154" s="4">
        <v>64831</v>
      </c>
      <c r="D154" s="4">
        <v>3353</v>
      </c>
      <c r="E154" s="4">
        <v>383</v>
      </c>
    </row>
    <row r="155" spans="1:5" x14ac:dyDescent="0.35">
      <c r="A155" t="s">
        <v>196</v>
      </c>
      <c r="B155" s="2">
        <v>9971</v>
      </c>
      <c r="C155" s="4">
        <v>17499</v>
      </c>
      <c r="D155" s="4">
        <v>3594</v>
      </c>
      <c r="E155" s="4">
        <v>310</v>
      </c>
    </row>
    <row r="156" spans="1:5" x14ac:dyDescent="0.35">
      <c r="A156" t="s">
        <v>197</v>
      </c>
      <c r="B156" s="2">
        <v>9941</v>
      </c>
      <c r="C156" s="4">
        <v>12621</v>
      </c>
      <c r="D156" s="4">
        <v>5938</v>
      </c>
      <c r="E156" s="4">
        <v>188</v>
      </c>
    </row>
    <row r="157" spans="1:5" x14ac:dyDescent="0.35">
      <c r="A157" t="s">
        <v>198</v>
      </c>
      <c r="B157" s="2">
        <v>9254</v>
      </c>
      <c r="C157" s="4">
        <v>23438</v>
      </c>
      <c r="D157" s="4">
        <v>2796</v>
      </c>
      <c r="E157" s="4">
        <v>409</v>
      </c>
    </row>
    <row r="158" spans="1:5" x14ac:dyDescent="0.35">
      <c r="A158" t="s">
        <v>199</v>
      </c>
      <c r="B158" s="2">
        <v>9398</v>
      </c>
      <c r="C158" s="4">
        <v>52586</v>
      </c>
      <c r="D158" s="4">
        <v>5965</v>
      </c>
      <c r="E158" s="4">
        <v>212</v>
      </c>
    </row>
    <row r="159" spans="1:5" x14ac:dyDescent="0.35">
      <c r="A159" t="s">
        <v>200</v>
      </c>
      <c r="B159" s="2">
        <v>9799</v>
      </c>
      <c r="C159" s="4">
        <v>45278</v>
      </c>
      <c r="D159" s="4">
        <v>3662</v>
      </c>
      <c r="E159" s="4">
        <v>349</v>
      </c>
    </row>
    <row r="160" spans="1:5" x14ac:dyDescent="0.35">
      <c r="A160" t="s">
        <v>201</v>
      </c>
      <c r="B160" s="2">
        <v>9674</v>
      </c>
      <c r="C160" s="4">
        <v>54391</v>
      </c>
      <c r="D160" s="4">
        <v>5247</v>
      </c>
      <c r="E160" s="4">
        <v>631</v>
      </c>
    </row>
    <row r="161" spans="1:5" x14ac:dyDescent="0.35">
      <c r="A161" t="s">
        <v>202</v>
      </c>
      <c r="B161" s="2">
        <v>9910</v>
      </c>
      <c r="C161" s="4">
        <v>51819</v>
      </c>
      <c r="D161" s="4">
        <v>3612</v>
      </c>
      <c r="E161" s="4">
        <v>112</v>
      </c>
    </row>
    <row r="162" spans="1:5" x14ac:dyDescent="0.35">
      <c r="A162" t="s">
        <v>203</v>
      </c>
      <c r="B162" s="2">
        <v>9247</v>
      </c>
      <c r="C162" s="4">
        <v>20286</v>
      </c>
      <c r="D162" s="4">
        <v>5721</v>
      </c>
      <c r="E162" s="4">
        <v>445</v>
      </c>
    </row>
    <row r="163" spans="1:5" x14ac:dyDescent="0.35">
      <c r="A163" t="s">
        <v>204</v>
      </c>
      <c r="B163" s="2">
        <v>9120</v>
      </c>
      <c r="C163" s="4">
        <v>56440</v>
      </c>
      <c r="D163" s="4">
        <v>5142</v>
      </c>
      <c r="E163" s="4">
        <v>141</v>
      </c>
    </row>
    <row r="164" spans="1:5" x14ac:dyDescent="0.35">
      <c r="A164" t="s">
        <v>205</v>
      </c>
      <c r="B164" s="2">
        <v>9975</v>
      </c>
      <c r="C164" s="4">
        <v>18121</v>
      </c>
      <c r="D164" s="4">
        <v>4080</v>
      </c>
      <c r="E164" s="4">
        <v>510</v>
      </c>
    </row>
    <row r="165" spans="1:5" x14ac:dyDescent="0.35">
      <c r="A165" t="s">
        <v>206</v>
      </c>
      <c r="B165" s="2">
        <v>9340</v>
      </c>
      <c r="C165" s="4">
        <v>12791</v>
      </c>
      <c r="D165" s="4">
        <v>2364</v>
      </c>
      <c r="E165" s="4">
        <v>263</v>
      </c>
    </row>
    <row r="166" spans="1:5" x14ac:dyDescent="0.35">
      <c r="A166" t="s">
        <v>207</v>
      </c>
      <c r="B166" s="2">
        <v>9400</v>
      </c>
      <c r="C166" s="4">
        <v>64622</v>
      </c>
      <c r="D166" s="4">
        <v>3700</v>
      </c>
      <c r="E166" s="4">
        <v>121</v>
      </c>
    </row>
    <row r="167" spans="1:5" x14ac:dyDescent="0.35">
      <c r="A167" t="s">
        <v>208</v>
      </c>
      <c r="B167" s="2">
        <v>9541</v>
      </c>
      <c r="C167" s="4">
        <v>23467</v>
      </c>
      <c r="D167" s="4">
        <v>3764</v>
      </c>
      <c r="E167" s="4">
        <v>599</v>
      </c>
    </row>
    <row r="168" spans="1:5" x14ac:dyDescent="0.35">
      <c r="A168" t="s">
        <v>209</v>
      </c>
      <c r="B168" s="2">
        <v>9527</v>
      </c>
      <c r="C168" s="4">
        <v>29664</v>
      </c>
      <c r="D168" s="4">
        <v>3477</v>
      </c>
      <c r="E168" s="4">
        <v>253</v>
      </c>
    </row>
    <row r="169" spans="1:5" x14ac:dyDescent="0.35">
      <c r="A169" t="s">
        <v>210</v>
      </c>
      <c r="B169" s="2">
        <v>9461</v>
      </c>
      <c r="C169" s="4">
        <v>38244</v>
      </c>
      <c r="D169" s="4">
        <v>5812</v>
      </c>
      <c r="E169" s="4">
        <v>391</v>
      </c>
    </row>
    <row r="170" spans="1:5" x14ac:dyDescent="0.35">
      <c r="A170" t="s">
        <v>211</v>
      </c>
      <c r="B170" s="2">
        <v>9214</v>
      </c>
      <c r="C170" s="4">
        <v>17800</v>
      </c>
      <c r="D170" s="4">
        <v>1072</v>
      </c>
      <c r="E170" s="4">
        <v>130</v>
      </c>
    </row>
    <row r="171" spans="1:5" x14ac:dyDescent="0.35">
      <c r="A171" t="s">
        <v>212</v>
      </c>
      <c r="B171" s="2">
        <v>9763</v>
      </c>
      <c r="C171" s="4">
        <v>11405</v>
      </c>
      <c r="D171" s="4">
        <v>1162</v>
      </c>
      <c r="E171" s="4">
        <v>132</v>
      </c>
    </row>
    <row r="172" spans="1:5" x14ac:dyDescent="0.35">
      <c r="A172" t="s">
        <v>213</v>
      </c>
      <c r="B172" s="2">
        <v>9869</v>
      </c>
      <c r="C172" s="4">
        <v>24036</v>
      </c>
      <c r="D172" s="4">
        <v>3659</v>
      </c>
      <c r="E172" s="4">
        <v>141</v>
      </c>
    </row>
    <row r="173" spans="1:5" x14ac:dyDescent="0.35">
      <c r="A173" t="s">
        <v>214</v>
      </c>
      <c r="B173" s="2">
        <v>9464</v>
      </c>
      <c r="C173" s="4">
        <v>18518</v>
      </c>
      <c r="D173" s="4">
        <v>3938</v>
      </c>
      <c r="E173" s="4">
        <v>371</v>
      </c>
    </row>
    <row r="174" spans="1:5" x14ac:dyDescent="0.35">
      <c r="A174" t="s">
        <v>215</v>
      </c>
      <c r="B174" s="2">
        <v>9845</v>
      </c>
      <c r="C174" s="4">
        <v>11006</v>
      </c>
      <c r="D174" s="4">
        <v>5594</v>
      </c>
      <c r="E174" s="4">
        <v>256</v>
      </c>
    </row>
    <row r="175" spans="1:5" x14ac:dyDescent="0.35">
      <c r="A175" t="s">
        <v>216</v>
      </c>
      <c r="B175" s="2">
        <v>9114</v>
      </c>
      <c r="C175" s="4">
        <v>46110</v>
      </c>
      <c r="D175" s="4">
        <v>5357</v>
      </c>
      <c r="E175" s="4">
        <v>438</v>
      </c>
    </row>
    <row r="176" spans="1:5" x14ac:dyDescent="0.35">
      <c r="A176" t="s">
        <v>217</v>
      </c>
      <c r="B176" s="2">
        <v>9467</v>
      </c>
      <c r="C176" s="4">
        <v>42439</v>
      </c>
      <c r="D176" s="4">
        <v>2626</v>
      </c>
      <c r="E176" s="4">
        <v>595</v>
      </c>
    </row>
    <row r="177" spans="1:5" x14ac:dyDescent="0.35">
      <c r="A177" t="s">
        <v>218</v>
      </c>
      <c r="B177" s="2">
        <v>9805</v>
      </c>
      <c r="C177" s="4">
        <v>50574</v>
      </c>
      <c r="D177" s="4">
        <v>4967</v>
      </c>
      <c r="E177" s="4">
        <v>598</v>
      </c>
    </row>
    <row r="178" spans="1:5" x14ac:dyDescent="0.35">
      <c r="A178" t="s">
        <v>219</v>
      </c>
      <c r="B178" s="2">
        <v>9981</v>
      </c>
      <c r="C178" s="4">
        <v>37692</v>
      </c>
      <c r="D178" s="4">
        <v>3278</v>
      </c>
      <c r="E178" s="4">
        <v>386</v>
      </c>
    </row>
    <row r="179" spans="1:5" x14ac:dyDescent="0.35">
      <c r="A179" t="s">
        <v>220</v>
      </c>
      <c r="B179" s="2">
        <v>9936</v>
      </c>
      <c r="C179" s="4">
        <v>42352</v>
      </c>
      <c r="D179" s="4">
        <v>2328</v>
      </c>
      <c r="E179" s="4">
        <v>561</v>
      </c>
    </row>
    <row r="180" spans="1:5" x14ac:dyDescent="0.35">
      <c r="A180" t="s">
        <v>221</v>
      </c>
      <c r="B180" s="2">
        <v>9131</v>
      </c>
      <c r="C180" s="4">
        <v>33571</v>
      </c>
      <c r="D180" s="4">
        <v>4564</v>
      </c>
      <c r="E180" s="4">
        <v>604</v>
      </c>
    </row>
    <row r="181" spans="1:5" x14ac:dyDescent="0.35">
      <c r="A181" t="s">
        <v>222</v>
      </c>
      <c r="B181" s="2">
        <v>9999</v>
      </c>
      <c r="C181" s="4">
        <v>57087</v>
      </c>
      <c r="D181" s="4">
        <v>6511</v>
      </c>
      <c r="E181" s="4">
        <v>520</v>
      </c>
    </row>
    <row r="182" spans="1:5" x14ac:dyDescent="0.35">
      <c r="A182" t="s">
        <v>223</v>
      </c>
      <c r="B182" s="2">
        <v>9418</v>
      </c>
      <c r="C182" s="4">
        <v>51152</v>
      </c>
      <c r="D182" s="4">
        <v>5485</v>
      </c>
      <c r="E182" s="4">
        <v>347</v>
      </c>
    </row>
    <row r="183" spans="1:5" x14ac:dyDescent="0.35">
      <c r="A183" t="s">
        <v>224</v>
      </c>
      <c r="B183" s="2">
        <v>9787</v>
      </c>
      <c r="C183" s="4">
        <v>38673</v>
      </c>
      <c r="D183" s="4">
        <v>2043</v>
      </c>
      <c r="E183" s="4">
        <v>437</v>
      </c>
    </row>
    <row r="184" spans="1:5" x14ac:dyDescent="0.35">
      <c r="A184" t="s">
        <v>225</v>
      </c>
      <c r="B184" s="2">
        <v>9365</v>
      </c>
      <c r="C184" s="4">
        <v>26617</v>
      </c>
      <c r="D184" s="4">
        <v>1288</v>
      </c>
      <c r="E184" s="4">
        <v>444</v>
      </c>
    </row>
    <row r="185" spans="1:5" x14ac:dyDescent="0.35">
      <c r="A185" t="s">
        <v>226</v>
      </c>
      <c r="B185" s="2">
        <v>9093</v>
      </c>
      <c r="C185" s="4">
        <v>17051</v>
      </c>
      <c r="D185" s="4">
        <v>2531</v>
      </c>
      <c r="E185" s="4">
        <v>465</v>
      </c>
    </row>
    <row r="186" spans="1:5" x14ac:dyDescent="0.35">
      <c r="A186" t="s">
        <v>227</v>
      </c>
      <c r="B186" s="2">
        <v>9530</v>
      </c>
      <c r="C186" s="4">
        <v>65569</v>
      </c>
      <c r="D186" s="4">
        <v>1064</v>
      </c>
      <c r="E186" s="4">
        <v>252</v>
      </c>
    </row>
    <row r="187" spans="1:5" x14ac:dyDescent="0.35">
      <c r="A187" t="s">
        <v>228</v>
      </c>
      <c r="B187" s="2">
        <v>9060</v>
      </c>
      <c r="C187" s="4">
        <v>16178</v>
      </c>
      <c r="D187" s="4">
        <v>5130</v>
      </c>
      <c r="E187" s="4">
        <v>399</v>
      </c>
    </row>
    <row r="188" spans="1:5" x14ac:dyDescent="0.35">
      <c r="A188" t="s">
        <v>229</v>
      </c>
      <c r="B188" s="2">
        <v>9240</v>
      </c>
      <c r="C188" s="4">
        <v>45374</v>
      </c>
      <c r="D188" s="4">
        <v>6467</v>
      </c>
      <c r="E188" s="4">
        <v>243</v>
      </c>
    </row>
    <row r="189" spans="1:5" x14ac:dyDescent="0.35">
      <c r="A189" t="s">
        <v>230</v>
      </c>
      <c r="B189" s="2">
        <v>9573</v>
      </c>
      <c r="C189" s="4">
        <v>62893</v>
      </c>
      <c r="D189" s="4">
        <v>3677</v>
      </c>
      <c r="E189" s="4">
        <v>168</v>
      </c>
    </row>
    <row r="190" spans="1:5" x14ac:dyDescent="0.35">
      <c r="A190" t="s">
        <v>231</v>
      </c>
      <c r="B190" s="2">
        <v>9425</v>
      </c>
      <c r="C190" s="4">
        <v>42824</v>
      </c>
      <c r="D190" s="4">
        <v>2633</v>
      </c>
      <c r="E190" s="4">
        <v>185</v>
      </c>
    </row>
    <row r="191" spans="1:5" x14ac:dyDescent="0.35">
      <c r="A191" t="s">
        <v>232</v>
      </c>
      <c r="B191" s="2">
        <v>9455</v>
      </c>
      <c r="C191" s="4">
        <v>25443</v>
      </c>
      <c r="D191" s="4">
        <v>4999</v>
      </c>
      <c r="E191" s="4">
        <v>370</v>
      </c>
    </row>
    <row r="192" spans="1:5" x14ac:dyDescent="0.35">
      <c r="A192" t="s">
        <v>233</v>
      </c>
      <c r="B192" s="2">
        <v>9091</v>
      </c>
      <c r="C192" s="4">
        <v>26219</v>
      </c>
      <c r="D192" s="4">
        <v>4704</v>
      </c>
      <c r="E192" s="4">
        <v>445</v>
      </c>
    </row>
    <row r="193" spans="1:5" x14ac:dyDescent="0.35">
      <c r="A193" t="s">
        <v>234</v>
      </c>
      <c r="B193" s="2">
        <v>9462</v>
      </c>
      <c r="C193" s="4">
        <v>44129</v>
      </c>
      <c r="D193" s="4">
        <v>5981</v>
      </c>
      <c r="E193" s="4">
        <v>571</v>
      </c>
    </row>
    <row r="194" spans="1:5" x14ac:dyDescent="0.35">
      <c r="A194" t="s">
        <v>235</v>
      </c>
      <c r="B194" s="2">
        <v>9883</v>
      </c>
      <c r="C194" s="4">
        <v>28198</v>
      </c>
      <c r="D194" s="4">
        <v>3012</v>
      </c>
      <c r="E194" s="4">
        <v>610</v>
      </c>
    </row>
    <row r="195" spans="1:5" x14ac:dyDescent="0.35">
      <c r="A195" t="s">
        <v>236</v>
      </c>
      <c r="B195" s="2">
        <v>9155</v>
      </c>
      <c r="C195" s="4">
        <v>23603</v>
      </c>
      <c r="D195" s="4">
        <v>4167</v>
      </c>
      <c r="E195" s="4">
        <v>377</v>
      </c>
    </row>
    <row r="196" spans="1:5" x14ac:dyDescent="0.35">
      <c r="A196" t="s">
        <v>237</v>
      </c>
      <c r="B196" s="2">
        <v>9262</v>
      </c>
      <c r="C196" s="4">
        <v>62538</v>
      </c>
      <c r="D196" s="4">
        <v>2113</v>
      </c>
      <c r="E196" s="4">
        <v>226</v>
      </c>
    </row>
    <row r="197" spans="1:5" x14ac:dyDescent="0.35">
      <c r="A197" t="s">
        <v>238</v>
      </c>
      <c r="B197" s="2">
        <v>9603</v>
      </c>
      <c r="C197" s="4">
        <v>40365</v>
      </c>
      <c r="D197" s="4">
        <v>4693</v>
      </c>
      <c r="E197" s="4">
        <v>104</v>
      </c>
    </row>
    <row r="198" spans="1:5" x14ac:dyDescent="0.35">
      <c r="A198" t="s">
        <v>239</v>
      </c>
      <c r="B198" s="2">
        <v>9454</v>
      </c>
      <c r="C198" s="4">
        <v>11093</v>
      </c>
      <c r="D198" s="4">
        <v>6039</v>
      </c>
      <c r="E198" s="4">
        <v>401</v>
      </c>
    </row>
    <row r="199" spans="1:5" x14ac:dyDescent="0.35">
      <c r="A199" t="s">
        <v>240</v>
      </c>
      <c r="B199" s="2">
        <v>9793</v>
      </c>
      <c r="C199" s="4">
        <v>25126</v>
      </c>
      <c r="D199" s="4">
        <v>5543</v>
      </c>
      <c r="E199" s="4">
        <v>342</v>
      </c>
    </row>
    <row r="200" spans="1:5" x14ac:dyDescent="0.35">
      <c r="A200" t="s">
        <v>241</v>
      </c>
      <c r="B200" s="2">
        <v>9625</v>
      </c>
      <c r="C200" s="4">
        <v>29910</v>
      </c>
      <c r="D200" s="4">
        <v>5846</v>
      </c>
      <c r="E200" s="4">
        <v>200</v>
      </c>
    </row>
    <row r="201" spans="1:5" x14ac:dyDescent="0.35">
      <c r="A201" t="s">
        <v>242</v>
      </c>
      <c r="B201" s="2">
        <v>9878</v>
      </c>
      <c r="C201" s="4">
        <v>53339</v>
      </c>
      <c r="D201" s="4">
        <v>1341</v>
      </c>
      <c r="E201" s="4">
        <v>501</v>
      </c>
    </row>
    <row r="202" spans="1:5" x14ac:dyDescent="0.35">
      <c r="A202" t="s">
        <v>243</v>
      </c>
      <c r="B202" s="2">
        <v>9914</v>
      </c>
      <c r="C202" s="4">
        <v>27381</v>
      </c>
      <c r="D202" s="4">
        <v>1707</v>
      </c>
      <c r="E202" s="4">
        <v>648</v>
      </c>
    </row>
    <row r="203" spans="1:5" x14ac:dyDescent="0.35">
      <c r="A203" t="s">
        <v>244</v>
      </c>
      <c r="B203" s="2">
        <v>9313</v>
      </c>
      <c r="C203" s="4">
        <v>15978</v>
      </c>
      <c r="D203" s="4">
        <v>2581</v>
      </c>
      <c r="E203" s="4">
        <v>243</v>
      </c>
    </row>
    <row r="204" spans="1:5" x14ac:dyDescent="0.35">
      <c r="A204" t="s">
        <v>245</v>
      </c>
      <c r="B204" s="2">
        <v>9284</v>
      </c>
      <c r="C204" s="4">
        <v>38515</v>
      </c>
      <c r="D204" s="4">
        <v>2579</v>
      </c>
      <c r="E204" s="4">
        <v>619</v>
      </c>
    </row>
    <row r="205" spans="1:5" x14ac:dyDescent="0.35">
      <c r="A205" t="s">
        <v>246</v>
      </c>
      <c r="B205" s="2">
        <v>9792</v>
      </c>
      <c r="C205" s="4">
        <v>48113</v>
      </c>
      <c r="D205" s="4">
        <v>4606</v>
      </c>
      <c r="E205" s="4">
        <v>430</v>
      </c>
    </row>
    <row r="206" spans="1:5" x14ac:dyDescent="0.35">
      <c r="A206" t="s">
        <v>247</v>
      </c>
      <c r="B206" s="2">
        <v>9952</v>
      </c>
      <c r="C206" s="4">
        <v>11262</v>
      </c>
      <c r="D206" s="4">
        <v>3036</v>
      </c>
      <c r="E206" s="4">
        <v>363</v>
      </c>
    </row>
    <row r="207" spans="1:5" x14ac:dyDescent="0.35">
      <c r="A207" t="s">
        <v>248</v>
      </c>
      <c r="B207" s="2">
        <v>9509</v>
      </c>
      <c r="C207" s="4">
        <v>23373</v>
      </c>
      <c r="D207" s="4">
        <v>3336</v>
      </c>
      <c r="E207" s="4">
        <v>368</v>
      </c>
    </row>
    <row r="208" spans="1:5" x14ac:dyDescent="0.35">
      <c r="A208" t="s">
        <v>249</v>
      </c>
      <c r="B208" s="2">
        <v>9357</v>
      </c>
      <c r="C208" s="4">
        <v>16651</v>
      </c>
      <c r="D208" s="4">
        <v>2942</v>
      </c>
      <c r="E208" s="4">
        <v>542</v>
      </c>
    </row>
    <row r="209" spans="1:5" x14ac:dyDescent="0.35">
      <c r="A209" t="s">
        <v>250</v>
      </c>
      <c r="B209" s="2">
        <v>9676</v>
      </c>
      <c r="C209" s="4">
        <v>11486</v>
      </c>
      <c r="D209" s="4">
        <v>1776</v>
      </c>
      <c r="E209" s="4">
        <v>241</v>
      </c>
    </row>
    <row r="210" spans="1:5" x14ac:dyDescent="0.35">
      <c r="A210" t="s">
        <v>251</v>
      </c>
      <c r="B210" s="2">
        <v>9121</v>
      </c>
      <c r="C210" s="4">
        <v>36531</v>
      </c>
      <c r="D210" s="4">
        <v>3239</v>
      </c>
      <c r="E210" s="4">
        <v>543</v>
      </c>
    </row>
    <row r="211" spans="1:5" x14ac:dyDescent="0.35">
      <c r="A211" t="s">
        <v>252</v>
      </c>
      <c r="B211" s="2">
        <v>9956</v>
      </c>
      <c r="C211" s="4">
        <v>14963</v>
      </c>
      <c r="D211" s="4">
        <v>1775</v>
      </c>
      <c r="E211" s="4">
        <v>464</v>
      </c>
    </row>
    <row r="212" spans="1:5" x14ac:dyDescent="0.35">
      <c r="A212" t="s">
        <v>253</v>
      </c>
      <c r="B212" s="2">
        <v>9067</v>
      </c>
      <c r="C212" s="4">
        <v>49863</v>
      </c>
      <c r="D212" s="4">
        <v>5132</v>
      </c>
      <c r="E212" s="4">
        <v>435</v>
      </c>
    </row>
    <row r="213" spans="1:5" x14ac:dyDescent="0.35">
      <c r="A213" t="s">
        <v>254</v>
      </c>
      <c r="B213" s="2">
        <v>9832</v>
      </c>
      <c r="C213" s="4">
        <v>27786</v>
      </c>
      <c r="D213" s="4">
        <v>4930</v>
      </c>
      <c r="E213" s="4">
        <v>386</v>
      </c>
    </row>
    <row r="214" spans="1:5" x14ac:dyDescent="0.35">
      <c r="A214" t="s">
        <v>255</v>
      </c>
      <c r="B214" s="2">
        <v>9048</v>
      </c>
      <c r="C214" s="4">
        <v>13262</v>
      </c>
      <c r="D214" s="4">
        <v>1725</v>
      </c>
      <c r="E214" s="4">
        <v>290</v>
      </c>
    </row>
    <row r="215" spans="1:5" x14ac:dyDescent="0.35">
      <c r="A215" t="s">
        <v>256</v>
      </c>
      <c r="B215" s="2">
        <v>9337</v>
      </c>
      <c r="C215" s="4">
        <v>13499</v>
      </c>
      <c r="D215" s="4">
        <v>3239</v>
      </c>
      <c r="E215" s="4">
        <v>409</v>
      </c>
    </row>
    <row r="216" spans="1:5" x14ac:dyDescent="0.35">
      <c r="A216" t="s">
        <v>257</v>
      </c>
      <c r="B216" s="2">
        <v>9563</v>
      </c>
      <c r="C216" s="4">
        <v>20417</v>
      </c>
      <c r="D216" s="4">
        <v>1717</v>
      </c>
      <c r="E216" s="4">
        <v>616</v>
      </c>
    </row>
    <row r="217" spans="1:5" x14ac:dyDescent="0.35">
      <c r="A217" t="s">
        <v>258</v>
      </c>
      <c r="B217" s="2">
        <v>9779</v>
      </c>
      <c r="C217" s="4">
        <v>49940</v>
      </c>
      <c r="D217" s="4">
        <v>5376</v>
      </c>
      <c r="E217" s="4">
        <v>352</v>
      </c>
    </row>
    <row r="218" spans="1:5" x14ac:dyDescent="0.35">
      <c r="A218" t="s">
        <v>259</v>
      </c>
      <c r="B218" s="2">
        <v>9051</v>
      </c>
      <c r="C218" s="4">
        <v>22390</v>
      </c>
      <c r="D218" s="4">
        <v>4508</v>
      </c>
      <c r="E218" s="4">
        <v>601</v>
      </c>
    </row>
    <row r="219" spans="1:5" x14ac:dyDescent="0.35">
      <c r="A219" t="s">
        <v>260</v>
      </c>
      <c r="B219" s="2">
        <v>9435</v>
      </c>
      <c r="C219" s="4">
        <v>36228</v>
      </c>
      <c r="D219" s="4">
        <v>1413</v>
      </c>
      <c r="E219" s="4">
        <v>414</v>
      </c>
    </row>
    <row r="220" spans="1:5" x14ac:dyDescent="0.35">
      <c r="A220" t="s">
        <v>261</v>
      </c>
      <c r="B220" s="2">
        <v>9889</v>
      </c>
      <c r="C220" s="4">
        <v>59796</v>
      </c>
      <c r="D220" s="4">
        <v>3318</v>
      </c>
      <c r="E220" s="4">
        <v>224</v>
      </c>
    </row>
    <row r="221" spans="1:5" x14ac:dyDescent="0.35">
      <c r="A221" t="s">
        <v>262</v>
      </c>
      <c r="B221" s="2">
        <v>9541</v>
      </c>
      <c r="C221" s="4">
        <v>58089</v>
      </c>
      <c r="D221" s="4">
        <v>4625</v>
      </c>
      <c r="E221" s="4">
        <v>512</v>
      </c>
    </row>
    <row r="222" spans="1:5" x14ac:dyDescent="0.35">
      <c r="A222" t="s">
        <v>263</v>
      </c>
      <c r="B222" s="2">
        <v>9903</v>
      </c>
      <c r="C222" s="4">
        <v>65673</v>
      </c>
      <c r="D222" s="4">
        <v>4922</v>
      </c>
      <c r="E222" s="4">
        <v>281</v>
      </c>
    </row>
    <row r="223" spans="1:5" x14ac:dyDescent="0.35">
      <c r="A223" t="s">
        <v>264</v>
      </c>
      <c r="B223" s="2">
        <v>9233</v>
      </c>
      <c r="C223" s="4">
        <v>52517</v>
      </c>
      <c r="D223" s="4">
        <v>2831</v>
      </c>
      <c r="E223" s="4">
        <v>130</v>
      </c>
    </row>
    <row r="224" spans="1:5" x14ac:dyDescent="0.35">
      <c r="A224" t="s">
        <v>265</v>
      </c>
      <c r="B224" s="2">
        <v>9628</v>
      </c>
      <c r="C224" s="4">
        <v>61318</v>
      </c>
      <c r="D224" s="4">
        <v>4896</v>
      </c>
      <c r="E224" s="4">
        <v>124</v>
      </c>
    </row>
    <row r="225" spans="1:5" x14ac:dyDescent="0.35">
      <c r="A225" t="s">
        <v>266</v>
      </c>
      <c r="B225" s="2">
        <v>9157</v>
      </c>
      <c r="C225" s="4">
        <v>60241</v>
      </c>
      <c r="D225" s="4">
        <v>1349</v>
      </c>
      <c r="E225" s="4">
        <v>474</v>
      </c>
    </row>
    <row r="226" spans="1:5" x14ac:dyDescent="0.35">
      <c r="A226" t="s">
        <v>267</v>
      </c>
      <c r="B226" s="2">
        <v>9086</v>
      </c>
      <c r="C226" s="4">
        <v>35075</v>
      </c>
      <c r="D226" s="4">
        <v>2894</v>
      </c>
      <c r="E226" s="4">
        <v>206</v>
      </c>
    </row>
    <row r="227" spans="1:5" x14ac:dyDescent="0.35">
      <c r="A227" t="s">
        <v>268</v>
      </c>
      <c r="B227" s="2">
        <v>9235</v>
      </c>
      <c r="C227" s="4">
        <v>56210</v>
      </c>
      <c r="D227" s="4">
        <v>4871</v>
      </c>
      <c r="E227" s="4">
        <v>153</v>
      </c>
    </row>
    <row r="228" spans="1:5" x14ac:dyDescent="0.35">
      <c r="A228" t="s">
        <v>269</v>
      </c>
      <c r="B228" s="2">
        <v>9916</v>
      </c>
      <c r="C228" s="4">
        <v>20674</v>
      </c>
      <c r="D228" s="4">
        <v>2420</v>
      </c>
      <c r="E228" s="4">
        <v>285</v>
      </c>
    </row>
    <row r="229" spans="1:5" x14ac:dyDescent="0.35">
      <c r="A229" t="s">
        <v>270</v>
      </c>
      <c r="B229" s="2">
        <v>9637</v>
      </c>
      <c r="C229" s="4">
        <v>51274</v>
      </c>
      <c r="D229" s="4">
        <v>4353</v>
      </c>
      <c r="E229" s="4">
        <v>318</v>
      </c>
    </row>
    <row r="230" spans="1:5" x14ac:dyDescent="0.35">
      <c r="A230" t="s">
        <v>271</v>
      </c>
      <c r="B230" s="2">
        <v>9778</v>
      </c>
      <c r="C230" s="4">
        <v>53416</v>
      </c>
      <c r="D230" s="4">
        <v>5956</v>
      </c>
      <c r="E230" s="4">
        <v>430</v>
      </c>
    </row>
    <row r="231" spans="1:5" x14ac:dyDescent="0.35">
      <c r="A231" t="s">
        <v>272</v>
      </c>
      <c r="B231" s="2">
        <v>9109</v>
      </c>
      <c r="C231" s="4">
        <v>45151</v>
      </c>
      <c r="D231" s="4">
        <v>2235</v>
      </c>
      <c r="E231" s="4">
        <v>121</v>
      </c>
    </row>
    <row r="232" spans="1:5" x14ac:dyDescent="0.35">
      <c r="A232" t="s">
        <v>273</v>
      </c>
      <c r="B232" s="2">
        <v>9304</v>
      </c>
      <c r="C232" s="4">
        <v>43136</v>
      </c>
      <c r="D232" s="4">
        <v>2123</v>
      </c>
      <c r="E232" s="4">
        <v>141</v>
      </c>
    </row>
    <row r="233" spans="1:5" x14ac:dyDescent="0.35">
      <c r="A233" t="s">
        <v>274</v>
      </c>
      <c r="B233" s="2">
        <v>9709</v>
      </c>
      <c r="C233" s="4">
        <v>47725</v>
      </c>
      <c r="D233" s="4">
        <v>2169</v>
      </c>
      <c r="E233" s="4">
        <v>215</v>
      </c>
    </row>
    <row r="234" spans="1:5" x14ac:dyDescent="0.35">
      <c r="A234" t="s">
        <v>275</v>
      </c>
      <c r="B234" s="2">
        <v>9980</v>
      </c>
      <c r="C234" s="4">
        <v>46286</v>
      </c>
      <c r="D234" s="4">
        <v>3773</v>
      </c>
      <c r="E234" s="4">
        <v>438</v>
      </c>
    </row>
    <row r="235" spans="1:5" x14ac:dyDescent="0.35">
      <c r="A235" t="s">
        <v>276</v>
      </c>
      <c r="B235" s="2">
        <v>9896</v>
      </c>
      <c r="C235" s="4">
        <v>24488</v>
      </c>
      <c r="D235" s="4">
        <v>1644</v>
      </c>
      <c r="E235" s="4">
        <v>339</v>
      </c>
    </row>
    <row r="236" spans="1:5" x14ac:dyDescent="0.35">
      <c r="A236" t="s">
        <v>277</v>
      </c>
      <c r="B236" s="2">
        <v>9699</v>
      </c>
      <c r="C236" s="4">
        <v>32956</v>
      </c>
      <c r="D236" s="4">
        <v>2106</v>
      </c>
      <c r="E236" s="4">
        <v>361</v>
      </c>
    </row>
    <row r="237" spans="1:5" x14ac:dyDescent="0.35">
      <c r="A237" t="s">
        <v>278</v>
      </c>
      <c r="B237" s="2">
        <v>9653</v>
      </c>
      <c r="C237" s="4">
        <v>49578</v>
      </c>
      <c r="D237" s="4">
        <v>1236</v>
      </c>
      <c r="E237" s="4">
        <v>647</v>
      </c>
    </row>
    <row r="238" spans="1:5" x14ac:dyDescent="0.35">
      <c r="A238" t="s">
        <v>279</v>
      </c>
      <c r="B238" s="2">
        <v>9607</v>
      </c>
      <c r="C238" s="4">
        <v>32849</v>
      </c>
      <c r="D238" s="4">
        <v>4925</v>
      </c>
      <c r="E238" s="4">
        <v>572</v>
      </c>
    </row>
    <row r="239" spans="1:5" x14ac:dyDescent="0.35">
      <c r="A239" t="s">
        <v>280</v>
      </c>
      <c r="B239" s="2">
        <v>9581</v>
      </c>
      <c r="C239" s="4">
        <v>44866</v>
      </c>
      <c r="D239" s="4">
        <v>4821</v>
      </c>
      <c r="E239" s="4">
        <v>189</v>
      </c>
    </row>
    <row r="240" spans="1:5" x14ac:dyDescent="0.35">
      <c r="A240" t="s">
        <v>281</v>
      </c>
      <c r="B240" s="2">
        <v>9960</v>
      </c>
      <c r="C240" s="4">
        <v>56820</v>
      </c>
      <c r="D240" s="4">
        <v>4468</v>
      </c>
      <c r="E240" s="4">
        <v>221</v>
      </c>
    </row>
    <row r="241" spans="1:5" x14ac:dyDescent="0.35">
      <c r="A241" t="s">
        <v>282</v>
      </c>
      <c r="B241" s="2">
        <v>9733</v>
      </c>
      <c r="C241" s="4">
        <v>47696</v>
      </c>
      <c r="D241" s="4">
        <v>2332</v>
      </c>
      <c r="E241" s="4">
        <v>569</v>
      </c>
    </row>
    <row r="242" spans="1:5" x14ac:dyDescent="0.35">
      <c r="A242" t="s">
        <v>283</v>
      </c>
      <c r="B242" s="2">
        <v>9115</v>
      </c>
      <c r="C242" s="4">
        <v>22167</v>
      </c>
      <c r="D242" s="4">
        <v>4900</v>
      </c>
      <c r="E242" s="4">
        <v>647</v>
      </c>
    </row>
    <row r="243" spans="1:5" x14ac:dyDescent="0.35">
      <c r="A243" t="s">
        <v>284</v>
      </c>
      <c r="B243" s="2">
        <v>9249</v>
      </c>
      <c r="C243" s="4">
        <v>19934</v>
      </c>
      <c r="D243" s="4">
        <v>5478</v>
      </c>
      <c r="E243" s="4">
        <v>499</v>
      </c>
    </row>
    <row r="244" spans="1:5" x14ac:dyDescent="0.35">
      <c r="A244" t="s">
        <v>285</v>
      </c>
      <c r="B244" s="2">
        <v>9658</v>
      </c>
      <c r="C244" s="4">
        <v>14692</v>
      </c>
      <c r="D244" s="4">
        <v>1093</v>
      </c>
      <c r="E244" s="4">
        <v>177</v>
      </c>
    </row>
    <row r="245" spans="1:5" x14ac:dyDescent="0.35">
      <c r="A245" t="s">
        <v>286</v>
      </c>
      <c r="B245" s="2">
        <v>9794</v>
      </c>
      <c r="C245" s="4">
        <v>30251</v>
      </c>
      <c r="D245" s="4">
        <v>3050</v>
      </c>
      <c r="E245" s="4">
        <v>137</v>
      </c>
    </row>
    <row r="246" spans="1:5" x14ac:dyDescent="0.35">
      <c r="A246" t="s">
        <v>287</v>
      </c>
      <c r="B246" s="2">
        <v>9160</v>
      </c>
      <c r="C246" s="4">
        <v>57789</v>
      </c>
      <c r="D246" s="4">
        <v>6051</v>
      </c>
      <c r="E246" s="4">
        <v>291</v>
      </c>
    </row>
    <row r="247" spans="1:5" x14ac:dyDescent="0.35">
      <c r="A247" t="s">
        <v>288</v>
      </c>
      <c r="B247" s="2">
        <v>9821</v>
      </c>
      <c r="C247" s="4">
        <v>16318</v>
      </c>
      <c r="D247" s="4">
        <v>6488</v>
      </c>
      <c r="E247" s="4">
        <v>227</v>
      </c>
    </row>
    <row r="248" spans="1:5" x14ac:dyDescent="0.35">
      <c r="A248" t="s">
        <v>289</v>
      </c>
      <c r="B248" s="2">
        <v>9884</v>
      </c>
      <c r="C248" s="4">
        <v>46746</v>
      </c>
      <c r="D248" s="4">
        <v>6231</v>
      </c>
      <c r="E248" s="4">
        <v>629</v>
      </c>
    </row>
    <row r="249" spans="1:5" x14ac:dyDescent="0.35">
      <c r="A249" t="s">
        <v>290</v>
      </c>
      <c r="B249" s="2">
        <v>9100</v>
      </c>
      <c r="C249" s="4">
        <v>28283</v>
      </c>
      <c r="D249" s="4">
        <v>5481</v>
      </c>
      <c r="E249" s="4">
        <v>301</v>
      </c>
    </row>
    <row r="250" spans="1:5" x14ac:dyDescent="0.35">
      <c r="A250" t="s">
        <v>291</v>
      </c>
      <c r="B250" s="2">
        <v>9221</v>
      </c>
      <c r="C250" s="4">
        <v>15586</v>
      </c>
      <c r="D250" s="4">
        <v>3593</v>
      </c>
      <c r="E250" s="4">
        <v>579</v>
      </c>
    </row>
    <row r="251" spans="1:5" x14ac:dyDescent="0.35">
      <c r="A251" t="s">
        <v>292</v>
      </c>
      <c r="B251" s="2">
        <v>9509</v>
      </c>
      <c r="C251" s="4">
        <v>49488</v>
      </c>
      <c r="D251" s="4">
        <v>2900</v>
      </c>
      <c r="E251" s="4">
        <v>513</v>
      </c>
    </row>
    <row r="252" spans="1:5" x14ac:dyDescent="0.35">
      <c r="A252" t="s">
        <v>293</v>
      </c>
      <c r="B252" s="2">
        <v>9316</v>
      </c>
      <c r="C252" s="4">
        <v>26359</v>
      </c>
      <c r="D252" s="4">
        <v>3475</v>
      </c>
      <c r="E252" s="4">
        <v>550</v>
      </c>
    </row>
    <row r="253" spans="1:5" x14ac:dyDescent="0.35">
      <c r="A253" t="s">
        <v>294</v>
      </c>
      <c r="B253" s="2">
        <v>9794</v>
      </c>
      <c r="C253" s="4">
        <v>54978</v>
      </c>
      <c r="D253" s="4">
        <v>2149</v>
      </c>
      <c r="E253" s="4">
        <v>148</v>
      </c>
    </row>
    <row r="254" spans="1:5" x14ac:dyDescent="0.35">
      <c r="A254" t="s">
        <v>295</v>
      </c>
      <c r="B254" s="2">
        <v>9612</v>
      </c>
      <c r="C254" s="4">
        <v>25795</v>
      </c>
      <c r="D254" s="4">
        <v>1390</v>
      </c>
      <c r="E254" s="4">
        <v>195</v>
      </c>
    </row>
    <row r="255" spans="1:5" x14ac:dyDescent="0.35">
      <c r="A255" t="s">
        <v>296</v>
      </c>
      <c r="B255" s="2">
        <v>9833</v>
      </c>
      <c r="C255" s="4">
        <v>45541</v>
      </c>
      <c r="D255" s="4">
        <v>6340</v>
      </c>
      <c r="E255" s="4">
        <v>464</v>
      </c>
    </row>
    <row r="256" spans="1:5" x14ac:dyDescent="0.35">
      <c r="A256" t="s">
        <v>297</v>
      </c>
      <c r="B256" s="2">
        <v>9634</v>
      </c>
      <c r="C256" s="4">
        <v>29697</v>
      </c>
      <c r="D256" s="4">
        <v>2859</v>
      </c>
      <c r="E256" s="4">
        <v>612</v>
      </c>
    </row>
    <row r="257" spans="1:5" x14ac:dyDescent="0.35">
      <c r="A257" t="s">
        <v>298</v>
      </c>
      <c r="B257" s="2">
        <v>9572</v>
      </c>
      <c r="C257" s="4">
        <v>46710</v>
      </c>
      <c r="D257" s="4">
        <v>2971</v>
      </c>
      <c r="E257" s="4">
        <v>188</v>
      </c>
    </row>
    <row r="258" spans="1:5" x14ac:dyDescent="0.35">
      <c r="A258" t="s">
        <v>299</v>
      </c>
      <c r="B258" s="2">
        <v>9157</v>
      </c>
      <c r="C258" s="4">
        <v>56881</v>
      </c>
      <c r="D258" s="4">
        <v>6480</v>
      </c>
      <c r="E258" s="4">
        <v>284</v>
      </c>
    </row>
    <row r="259" spans="1:5" x14ac:dyDescent="0.35">
      <c r="A259" t="s">
        <v>300</v>
      </c>
      <c r="B259" s="2">
        <v>9406</v>
      </c>
      <c r="C259" s="4">
        <v>43399</v>
      </c>
      <c r="D259" s="4">
        <v>3516</v>
      </c>
      <c r="E259" s="4">
        <v>478</v>
      </c>
    </row>
    <row r="260" spans="1:5" x14ac:dyDescent="0.35">
      <c r="A260" t="s">
        <v>301</v>
      </c>
      <c r="B260" s="2">
        <v>9670</v>
      </c>
      <c r="C260" s="4">
        <v>45632</v>
      </c>
      <c r="D260" s="4">
        <v>1760</v>
      </c>
      <c r="E260" s="4">
        <v>301</v>
      </c>
    </row>
    <row r="261" spans="1:5" x14ac:dyDescent="0.35">
      <c r="A261" t="s">
        <v>302</v>
      </c>
      <c r="B261" s="2">
        <v>9326</v>
      </c>
      <c r="C261" s="4">
        <v>25076</v>
      </c>
      <c r="D261" s="4">
        <v>1136</v>
      </c>
      <c r="E261" s="4">
        <v>177</v>
      </c>
    </row>
    <row r="262" spans="1:5" x14ac:dyDescent="0.35">
      <c r="A262" t="s">
        <v>303</v>
      </c>
      <c r="B262" s="2">
        <v>9348</v>
      </c>
      <c r="C262" s="4">
        <v>28637</v>
      </c>
      <c r="D262" s="4">
        <v>5169</v>
      </c>
      <c r="E262" s="4">
        <v>562</v>
      </c>
    </row>
    <row r="263" spans="1:5" x14ac:dyDescent="0.35">
      <c r="A263" t="s">
        <v>304</v>
      </c>
      <c r="B263" s="2">
        <v>9381</v>
      </c>
      <c r="C263" s="4">
        <v>42019</v>
      </c>
      <c r="D263" s="4">
        <v>5613</v>
      </c>
      <c r="E263" s="4">
        <v>477</v>
      </c>
    </row>
    <row r="264" spans="1:5" x14ac:dyDescent="0.35">
      <c r="A264" t="s">
        <v>305</v>
      </c>
      <c r="B264" s="2">
        <v>9890</v>
      </c>
      <c r="C264" s="4">
        <v>60844</v>
      </c>
      <c r="D264" s="4">
        <v>2891</v>
      </c>
      <c r="E264" s="4">
        <v>154</v>
      </c>
    </row>
    <row r="265" spans="1:5" x14ac:dyDescent="0.35">
      <c r="A265" t="s">
        <v>306</v>
      </c>
      <c r="B265" s="2">
        <v>9207</v>
      </c>
      <c r="C265" s="4">
        <v>11052</v>
      </c>
      <c r="D265" s="4">
        <v>5641</v>
      </c>
      <c r="E265" s="4">
        <v>494</v>
      </c>
    </row>
    <row r="266" spans="1:5" x14ac:dyDescent="0.35">
      <c r="A266" t="s">
        <v>307</v>
      </c>
      <c r="B266" s="2">
        <v>9000</v>
      </c>
      <c r="C266" s="4">
        <v>63938</v>
      </c>
      <c r="D266" s="4">
        <v>1719</v>
      </c>
      <c r="E266" s="4">
        <v>499</v>
      </c>
    </row>
    <row r="267" spans="1:5" x14ac:dyDescent="0.35">
      <c r="A267" t="s">
        <v>308</v>
      </c>
      <c r="B267" s="2">
        <v>9792</v>
      </c>
      <c r="C267" s="4">
        <v>52747</v>
      </c>
      <c r="D267" s="4">
        <v>3776</v>
      </c>
      <c r="E267" s="4">
        <v>485</v>
      </c>
    </row>
    <row r="268" spans="1:5" x14ac:dyDescent="0.35">
      <c r="A268" t="s">
        <v>309</v>
      </c>
      <c r="B268" s="2">
        <v>9012</v>
      </c>
      <c r="C268" s="4">
        <v>28830</v>
      </c>
      <c r="D268" s="4">
        <v>1858</v>
      </c>
      <c r="E268" s="4">
        <v>337</v>
      </c>
    </row>
    <row r="269" spans="1:5" x14ac:dyDescent="0.35">
      <c r="A269" t="s">
        <v>310</v>
      </c>
      <c r="B269" s="2">
        <v>9500</v>
      </c>
      <c r="C269" s="4">
        <v>43670</v>
      </c>
      <c r="D269" s="4">
        <v>2152</v>
      </c>
      <c r="E269" s="4">
        <v>490</v>
      </c>
    </row>
    <row r="270" spans="1:5" x14ac:dyDescent="0.35">
      <c r="A270" t="s">
        <v>311</v>
      </c>
      <c r="B270" s="2">
        <v>9621</v>
      </c>
      <c r="C270" s="4">
        <v>36378</v>
      </c>
      <c r="D270" s="4">
        <v>5068</v>
      </c>
      <c r="E270" s="4">
        <v>142</v>
      </c>
    </row>
    <row r="271" spans="1:5" x14ac:dyDescent="0.35">
      <c r="A271" t="s">
        <v>312</v>
      </c>
      <c r="B271" s="2">
        <v>9650</v>
      </c>
      <c r="C271" s="4">
        <v>18737</v>
      </c>
      <c r="D271" s="4">
        <v>6335</v>
      </c>
      <c r="E271" s="4">
        <v>150</v>
      </c>
    </row>
    <row r="272" spans="1:5" x14ac:dyDescent="0.35">
      <c r="A272" t="s">
        <v>313</v>
      </c>
      <c r="B272" s="2">
        <v>9689</v>
      </c>
      <c r="C272" s="4">
        <v>24766</v>
      </c>
      <c r="D272" s="4">
        <v>6129</v>
      </c>
      <c r="E272" s="4">
        <v>162</v>
      </c>
    </row>
    <row r="273" spans="1:5" x14ac:dyDescent="0.35">
      <c r="A273" t="s">
        <v>314</v>
      </c>
      <c r="B273" s="2">
        <v>9699</v>
      </c>
      <c r="C273" s="4">
        <v>10794</v>
      </c>
      <c r="D273" s="4">
        <v>5468</v>
      </c>
      <c r="E273" s="4">
        <v>452</v>
      </c>
    </row>
    <row r="274" spans="1:5" x14ac:dyDescent="0.35">
      <c r="A274" t="s">
        <v>315</v>
      </c>
      <c r="B274" s="2">
        <v>9107</v>
      </c>
      <c r="C274" s="4">
        <v>24567</v>
      </c>
      <c r="D274" s="4">
        <v>4264</v>
      </c>
      <c r="E274" s="4">
        <v>272</v>
      </c>
    </row>
    <row r="275" spans="1:5" x14ac:dyDescent="0.35">
      <c r="A275" t="s">
        <v>316</v>
      </c>
      <c r="B275" s="2">
        <v>9383</v>
      </c>
      <c r="C275" s="4">
        <v>11048</v>
      </c>
      <c r="D275" s="4">
        <v>1286</v>
      </c>
      <c r="E275" s="4">
        <v>127</v>
      </c>
    </row>
    <row r="276" spans="1:5" x14ac:dyDescent="0.35">
      <c r="A276" t="s">
        <v>317</v>
      </c>
      <c r="B276" s="2">
        <v>9056</v>
      </c>
      <c r="C276" s="4">
        <v>63368</v>
      </c>
      <c r="D276" s="4">
        <v>3656</v>
      </c>
      <c r="E276" s="4">
        <v>582</v>
      </c>
    </row>
    <row r="277" spans="1:5" x14ac:dyDescent="0.35">
      <c r="A277" t="s">
        <v>318</v>
      </c>
      <c r="B277" s="2">
        <v>9118</v>
      </c>
      <c r="C277" s="4">
        <v>60653</v>
      </c>
      <c r="D277" s="4">
        <v>2213</v>
      </c>
      <c r="E277" s="4">
        <v>531</v>
      </c>
    </row>
    <row r="278" spans="1:5" x14ac:dyDescent="0.35">
      <c r="A278" t="s">
        <v>319</v>
      </c>
      <c r="B278" s="2">
        <v>9680</v>
      </c>
      <c r="C278" s="4">
        <v>16006</v>
      </c>
      <c r="D278" s="4">
        <v>3449</v>
      </c>
      <c r="E278" s="4">
        <v>566</v>
      </c>
    </row>
    <row r="279" spans="1:5" x14ac:dyDescent="0.35">
      <c r="A279" t="s">
        <v>320</v>
      </c>
      <c r="B279" s="2">
        <v>9272</v>
      </c>
      <c r="C279" s="4">
        <v>58647</v>
      </c>
      <c r="D279" s="4">
        <v>5881</v>
      </c>
      <c r="E279" s="4">
        <v>267</v>
      </c>
    </row>
    <row r="280" spans="1:5" x14ac:dyDescent="0.35">
      <c r="A280" t="s">
        <v>321</v>
      </c>
      <c r="B280" s="2">
        <v>9487</v>
      </c>
      <c r="C280" s="4">
        <v>37772</v>
      </c>
      <c r="D280" s="4">
        <v>2896</v>
      </c>
      <c r="E280" s="4">
        <v>532</v>
      </c>
    </row>
    <row r="281" spans="1:5" x14ac:dyDescent="0.35">
      <c r="A281" t="s">
        <v>322</v>
      </c>
      <c r="B281" s="2">
        <v>9445</v>
      </c>
      <c r="C281" s="4">
        <v>35192</v>
      </c>
      <c r="D281" s="4">
        <v>5237</v>
      </c>
      <c r="E281" s="4">
        <v>426</v>
      </c>
    </row>
    <row r="282" spans="1:5" x14ac:dyDescent="0.35">
      <c r="A282" t="s">
        <v>323</v>
      </c>
      <c r="B282" s="2">
        <v>9206</v>
      </c>
      <c r="C282" s="4">
        <v>43185</v>
      </c>
      <c r="D282" s="4">
        <v>1584</v>
      </c>
      <c r="E282" s="4">
        <v>581</v>
      </c>
    </row>
    <row r="283" spans="1:5" x14ac:dyDescent="0.35">
      <c r="A283" t="s">
        <v>324</v>
      </c>
      <c r="B283" s="2">
        <v>9628</v>
      </c>
      <c r="C283" s="4">
        <v>55966</v>
      </c>
      <c r="D283" s="4">
        <v>4832</v>
      </c>
      <c r="E283" s="4">
        <v>178</v>
      </c>
    </row>
    <row r="284" spans="1:5" x14ac:dyDescent="0.35">
      <c r="A284" t="s">
        <v>325</v>
      </c>
      <c r="B284" s="2">
        <v>9674</v>
      </c>
      <c r="C284" s="4">
        <v>11780</v>
      </c>
      <c r="D284" s="4">
        <v>5978</v>
      </c>
      <c r="E284" s="4">
        <v>326</v>
      </c>
    </row>
    <row r="285" spans="1:5" x14ac:dyDescent="0.35">
      <c r="A285" t="s">
        <v>326</v>
      </c>
      <c r="B285" s="2">
        <v>9988</v>
      </c>
      <c r="C285" s="4">
        <v>10416</v>
      </c>
      <c r="D285" s="4">
        <v>1419</v>
      </c>
      <c r="E285" s="4">
        <v>453</v>
      </c>
    </row>
    <row r="286" spans="1:5" x14ac:dyDescent="0.35">
      <c r="A286" t="s">
        <v>327</v>
      </c>
      <c r="B286" s="2">
        <v>9121</v>
      </c>
      <c r="C286" s="4">
        <v>48892</v>
      </c>
      <c r="D286" s="4">
        <v>4579</v>
      </c>
      <c r="E286" s="4">
        <v>280</v>
      </c>
    </row>
    <row r="287" spans="1:5" x14ac:dyDescent="0.35">
      <c r="A287" t="s">
        <v>328</v>
      </c>
      <c r="B287" s="2">
        <v>9399</v>
      </c>
      <c r="C287" s="4">
        <v>56155</v>
      </c>
      <c r="D287" s="4">
        <v>1787</v>
      </c>
      <c r="E287" s="4">
        <v>544</v>
      </c>
    </row>
    <row r="288" spans="1:5" x14ac:dyDescent="0.35">
      <c r="A288" t="s">
        <v>329</v>
      </c>
      <c r="B288" s="2">
        <v>9346</v>
      </c>
      <c r="C288" s="4">
        <v>34002</v>
      </c>
      <c r="D288" s="4">
        <v>3455</v>
      </c>
      <c r="E288" s="4">
        <v>460</v>
      </c>
    </row>
    <row r="289" spans="1:5" x14ac:dyDescent="0.35">
      <c r="A289" t="s">
        <v>330</v>
      </c>
      <c r="B289" s="2">
        <v>9653</v>
      </c>
      <c r="C289" s="4">
        <v>29592</v>
      </c>
      <c r="D289" s="4">
        <v>5276</v>
      </c>
      <c r="E289" s="4">
        <v>316</v>
      </c>
    </row>
    <row r="290" spans="1:5" x14ac:dyDescent="0.35">
      <c r="A290" t="s">
        <v>331</v>
      </c>
      <c r="B290" s="2">
        <v>9071</v>
      </c>
      <c r="C290" s="4">
        <v>55080</v>
      </c>
      <c r="D290" s="4">
        <v>5339</v>
      </c>
      <c r="E290" s="4">
        <v>318</v>
      </c>
    </row>
    <row r="291" spans="1:5" x14ac:dyDescent="0.35">
      <c r="A291" t="s">
        <v>332</v>
      </c>
      <c r="B291" s="2">
        <v>9149</v>
      </c>
      <c r="C291" s="4">
        <v>43828</v>
      </c>
      <c r="D291" s="4">
        <v>1312</v>
      </c>
      <c r="E291" s="4">
        <v>276</v>
      </c>
    </row>
    <row r="292" spans="1:5" x14ac:dyDescent="0.35">
      <c r="A292" t="s">
        <v>333</v>
      </c>
      <c r="B292" s="2">
        <v>9192</v>
      </c>
      <c r="C292" s="4">
        <v>12183</v>
      </c>
      <c r="D292" s="4">
        <v>1804</v>
      </c>
      <c r="E292" s="4">
        <v>457</v>
      </c>
    </row>
    <row r="293" spans="1:5" x14ac:dyDescent="0.35">
      <c r="A293" t="s">
        <v>334</v>
      </c>
      <c r="B293" s="2">
        <v>9194</v>
      </c>
      <c r="C293" s="4">
        <v>22765</v>
      </c>
      <c r="D293" s="4">
        <v>4019</v>
      </c>
      <c r="E293" s="4">
        <v>394</v>
      </c>
    </row>
    <row r="294" spans="1:5" x14ac:dyDescent="0.35">
      <c r="A294" t="s">
        <v>335</v>
      </c>
      <c r="B294" s="2">
        <v>9949</v>
      </c>
      <c r="C294" s="4">
        <v>42873</v>
      </c>
      <c r="D294" s="4">
        <v>2088</v>
      </c>
      <c r="E294" s="4">
        <v>619</v>
      </c>
    </row>
    <row r="295" spans="1:5" x14ac:dyDescent="0.35">
      <c r="A295" t="s">
        <v>336</v>
      </c>
      <c r="B295" s="2">
        <v>9033</v>
      </c>
      <c r="C295" s="4">
        <v>13310</v>
      </c>
      <c r="D295" s="4">
        <v>3787</v>
      </c>
      <c r="E295" s="4">
        <v>533</v>
      </c>
    </row>
    <row r="296" spans="1:5" x14ac:dyDescent="0.35">
      <c r="A296" t="s">
        <v>337</v>
      </c>
      <c r="B296" s="2">
        <v>9636</v>
      </c>
      <c r="C296" s="4">
        <v>40363</v>
      </c>
      <c r="D296" s="4">
        <v>5388</v>
      </c>
      <c r="E296" s="4">
        <v>193</v>
      </c>
    </row>
    <row r="297" spans="1:5" x14ac:dyDescent="0.35">
      <c r="A297" t="s">
        <v>338</v>
      </c>
      <c r="B297" s="2">
        <v>9194</v>
      </c>
      <c r="C297" s="4">
        <v>19332</v>
      </c>
      <c r="D297" s="4">
        <v>5498</v>
      </c>
      <c r="E297" s="4">
        <v>601</v>
      </c>
    </row>
    <row r="298" spans="1:5" x14ac:dyDescent="0.35">
      <c r="A298" t="s">
        <v>339</v>
      </c>
      <c r="B298" s="2">
        <v>9808</v>
      </c>
      <c r="C298" s="4">
        <v>63692</v>
      </c>
      <c r="D298" s="4">
        <v>4494</v>
      </c>
      <c r="E298" s="4">
        <v>164</v>
      </c>
    </row>
    <row r="299" spans="1:5" x14ac:dyDescent="0.35">
      <c r="A299" t="s">
        <v>340</v>
      </c>
      <c r="B299" s="2">
        <v>9683</v>
      </c>
      <c r="C299" s="4">
        <v>39117</v>
      </c>
      <c r="D299" s="4">
        <v>3615</v>
      </c>
      <c r="E299" s="4">
        <v>438</v>
      </c>
    </row>
    <row r="300" spans="1:5" x14ac:dyDescent="0.35">
      <c r="A300" t="s">
        <v>341</v>
      </c>
      <c r="B300" s="2">
        <v>9592</v>
      </c>
      <c r="C300" s="4">
        <v>42606</v>
      </c>
      <c r="D300" s="4">
        <v>5408</v>
      </c>
      <c r="E300" s="4">
        <v>440</v>
      </c>
    </row>
    <row r="301" spans="1:5" x14ac:dyDescent="0.35">
      <c r="A301" t="s">
        <v>342</v>
      </c>
      <c r="B301" s="2">
        <v>9764</v>
      </c>
      <c r="C301" s="4">
        <v>26178</v>
      </c>
      <c r="D301" s="4">
        <v>1509</v>
      </c>
      <c r="E301" s="4">
        <v>326</v>
      </c>
    </row>
    <row r="302" spans="1:5" x14ac:dyDescent="0.35">
      <c r="A302" t="s">
        <v>343</v>
      </c>
      <c r="B302" s="2">
        <v>9067</v>
      </c>
      <c r="C302" s="4">
        <v>50136</v>
      </c>
      <c r="D302" s="4">
        <v>2045</v>
      </c>
      <c r="E302" s="4">
        <v>483</v>
      </c>
    </row>
    <row r="303" spans="1:5" x14ac:dyDescent="0.35">
      <c r="A303" t="s">
        <v>344</v>
      </c>
      <c r="B303" s="2">
        <v>9512</v>
      </c>
      <c r="C303" s="4">
        <v>36778</v>
      </c>
      <c r="D303" s="4">
        <v>2721</v>
      </c>
      <c r="E303" s="4">
        <v>343</v>
      </c>
    </row>
    <row r="304" spans="1:5" x14ac:dyDescent="0.35">
      <c r="A304" t="s">
        <v>345</v>
      </c>
      <c r="B304" s="2">
        <v>9157</v>
      </c>
      <c r="C304" s="4">
        <v>26023</v>
      </c>
      <c r="D304" s="4">
        <v>6488</v>
      </c>
      <c r="E304" s="4">
        <v>319</v>
      </c>
    </row>
    <row r="305" spans="1:5" x14ac:dyDescent="0.35">
      <c r="A305" t="s">
        <v>346</v>
      </c>
      <c r="B305" s="2">
        <v>9479</v>
      </c>
      <c r="C305" s="4">
        <v>10764</v>
      </c>
      <c r="D305" s="4">
        <v>3508</v>
      </c>
      <c r="E305" s="4">
        <v>241</v>
      </c>
    </row>
    <row r="306" spans="1:5" x14ac:dyDescent="0.35">
      <c r="A306" t="s">
        <v>347</v>
      </c>
      <c r="B306" s="2">
        <v>9686</v>
      </c>
      <c r="C306" s="4">
        <v>43128</v>
      </c>
      <c r="D306" s="4">
        <v>4626</v>
      </c>
      <c r="E306" s="4">
        <v>378</v>
      </c>
    </row>
    <row r="307" spans="1:5" x14ac:dyDescent="0.35">
      <c r="A307" t="s">
        <v>348</v>
      </c>
      <c r="B307" s="2">
        <v>9237</v>
      </c>
      <c r="C307" s="4">
        <v>12206</v>
      </c>
      <c r="D307" s="4">
        <v>4575</v>
      </c>
      <c r="E307" s="4">
        <v>227</v>
      </c>
    </row>
    <row r="308" spans="1:5" x14ac:dyDescent="0.35">
      <c r="A308" t="s">
        <v>349</v>
      </c>
      <c r="B308" s="2">
        <v>9175</v>
      </c>
      <c r="C308" s="4">
        <v>57921</v>
      </c>
      <c r="D308" s="4">
        <v>1213</v>
      </c>
      <c r="E308" s="4">
        <v>351</v>
      </c>
    </row>
    <row r="309" spans="1:5" x14ac:dyDescent="0.35">
      <c r="A309" t="s">
        <v>350</v>
      </c>
      <c r="B309" s="2">
        <v>9710</v>
      </c>
      <c r="C309" s="4">
        <v>58813</v>
      </c>
      <c r="D309" s="4">
        <v>1625</v>
      </c>
      <c r="E309" s="4">
        <v>337</v>
      </c>
    </row>
    <row r="310" spans="1:5" x14ac:dyDescent="0.35">
      <c r="A310" t="s">
        <v>351</v>
      </c>
      <c r="B310" s="2">
        <v>9777</v>
      </c>
      <c r="C310" s="4">
        <v>35213</v>
      </c>
      <c r="D310" s="4">
        <v>4785</v>
      </c>
      <c r="E310" s="4">
        <v>367</v>
      </c>
    </row>
    <row r="311" spans="1:5" x14ac:dyDescent="0.35">
      <c r="A311" t="s">
        <v>352</v>
      </c>
      <c r="B311" s="2">
        <v>9391</v>
      </c>
      <c r="C311" s="4">
        <v>53565</v>
      </c>
      <c r="D311" s="4">
        <v>1734</v>
      </c>
      <c r="E311" s="4">
        <v>559</v>
      </c>
    </row>
    <row r="312" spans="1:5" x14ac:dyDescent="0.35">
      <c r="A312" t="s">
        <v>353</v>
      </c>
      <c r="B312" s="2">
        <v>9378</v>
      </c>
      <c r="C312" s="4">
        <v>60229</v>
      </c>
      <c r="D312" s="4">
        <v>1047</v>
      </c>
      <c r="E312" s="4">
        <v>597</v>
      </c>
    </row>
    <row r="313" spans="1:5" x14ac:dyDescent="0.35">
      <c r="A313" t="s">
        <v>354</v>
      </c>
      <c r="B313" s="2">
        <v>9072</v>
      </c>
      <c r="C313" s="4">
        <v>61020</v>
      </c>
      <c r="D313" s="4">
        <v>3874</v>
      </c>
      <c r="E313" s="4">
        <v>157</v>
      </c>
    </row>
    <row r="314" spans="1:5" x14ac:dyDescent="0.35">
      <c r="A314" t="s">
        <v>355</v>
      </c>
      <c r="B314" s="2">
        <v>9339</v>
      </c>
      <c r="C314" s="4">
        <v>48742</v>
      </c>
      <c r="D314" s="4">
        <v>3922</v>
      </c>
      <c r="E314" s="4">
        <v>450</v>
      </c>
    </row>
    <row r="315" spans="1:5" x14ac:dyDescent="0.35">
      <c r="A315" t="s">
        <v>356</v>
      </c>
      <c r="B315" s="2">
        <v>9337</v>
      </c>
      <c r="C315" s="4">
        <v>49450</v>
      </c>
      <c r="D315" s="4">
        <v>1775</v>
      </c>
      <c r="E315" s="4">
        <v>627</v>
      </c>
    </row>
    <row r="316" spans="1:5" x14ac:dyDescent="0.35">
      <c r="A316" t="s">
        <v>357</v>
      </c>
      <c r="B316" s="2">
        <v>9533</v>
      </c>
      <c r="C316" s="4">
        <v>18597</v>
      </c>
      <c r="D316" s="4">
        <v>5153</v>
      </c>
      <c r="E316" s="4">
        <v>400</v>
      </c>
    </row>
    <row r="317" spans="1:5" x14ac:dyDescent="0.35">
      <c r="A317" t="s">
        <v>358</v>
      </c>
      <c r="B317" s="2">
        <v>9186</v>
      </c>
      <c r="C317" s="4">
        <v>12296</v>
      </c>
      <c r="D317" s="4">
        <v>2576</v>
      </c>
      <c r="E317" s="4">
        <v>363</v>
      </c>
    </row>
    <row r="318" spans="1:5" x14ac:dyDescent="0.35">
      <c r="A318" t="s">
        <v>359</v>
      </c>
      <c r="B318" s="2">
        <v>9557</v>
      </c>
      <c r="C318" s="4">
        <v>12475</v>
      </c>
      <c r="D318" s="4">
        <v>3776</v>
      </c>
      <c r="E318" s="4">
        <v>363</v>
      </c>
    </row>
    <row r="319" spans="1:5" x14ac:dyDescent="0.35">
      <c r="A319" t="s">
        <v>360</v>
      </c>
      <c r="B319" s="2">
        <v>9829</v>
      </c>
      <c r="C319" s="4">
        <v>32069</v>
      </c>
      <c r="D319" s="4">
        <v>3253</v>
      </c>
      <c r="E319" s="4">
        <v>119</v>
      </c>
    </row>
    <row r="320" spans="1:5" x14ac:dyDescent="0.35">
      <c r="A320" t="s">
        <v>361</v>
      </c>
      <c r="B320" s="2">
        <v>9267</v>
      </c>
      <c r="C320" s="4">
        <v>32141</v>
      </c>
      <c r="D320" s="4">
        <v>3989</v>
      </c>
      <c r="E320" s="4">
        <v>217</v>
      </c>
    </row>
    <row r="321" spans="1:5" x14ac:dyDescent="0.35">
      <c r="A321" t="s">
        <v>362</v>
      </c>
      <c r="B321" s="2">
        <v>9040</v>
      </c>
      <c r="C321" s="4">
        <v>60722</v>
      </c>
      <c r="D321" s="4">
        <v>3847</v>
      </c>
      <c r="E321" s="4">
        <v>198</v>
      </c>
    </row>
    <row r="322" spans="1:5" x14ac:dyDescent="0.35">
      <c r="A322" t="s">
        <v>363</v>
      </c>
      <c r="B322" s="2">
        <v>9702</v>
      </c>
      <c r="C322" s="4">
        <v>61550</v>
      </c>
      <c r="D322" s="4">
        <v>3273</v>
      </c>
      <c r="E322" s="4">
        <v>183</v>
      </c>
    </row>
    <row r="323" spans="1:5" x14ac:dyDescent="0.35">
      <c r="A323" t="s">
        <v>364</v>
      </c>
      <c r="B323" s="2">
        <v>9153</v>
      </c>
      <c r="C323" s="4">
        <v>39190</v>
      </c>
      <c r="D323" s="4">
        <v>2531</v>
      </c>
      <c r="E323" s="4">
        <v>244</v>
      </c>
    </row>
    <row r="324" spans="1:5" x14ac:dyDescent="0.35">
      <c r="A324" t="s">
        <v>365</v>
      </c>
      <c r="B324" s="2">
        <v>9044</v>
      </c>
      <c r="C324" s="4">
        <v>25733</v>
      </c>
      <c r="D324" s="4">
        <v>6341</v>
      </c>
      <c r="E324" s="4">
        <v>556</v>
      </c>
    </row>
    <row r="325" spans="1:5" x14ac:dyDescent="0.35">
      <c r="A325" t="s">
        <v>366</v>
      </c>
      <c r="B325" s="2">
        <v>9218</v>
      </c>
      <c r="C325" s="4">
        <v>33031</v>
      </c>
      <c r="D325" s="4">
        <v>6410</v>
      </c>
      <c r="E325" s="4">
        <v>463</v>
      </c>
    </row>
    <row r="326" spans="1:5" x14ac:dyDescent="0.35">
      <c r="A326" t="s">
        <v>367</v>
      </c>
      <c r="B326" s="2">
        <v>9645</v>
      </c>
      <c r="C326" s="4">
        <v>61586</v>
      </c>
      <c r="D326" s="4">
        <v>2003</v>
      </c>
      <c r="E326" s="4">
        <v>494</v>
      </c>
    </row>
    <row r="327" spans="1:5" x14ac:dyDescent="0.35">
      <c r="A327" t="s">
        <v>368</v>
      </c>
      <c r="B327" s="2">
        <v>9007</v>
      </c>
      <c r="C327" s="4">
        <v>56414</v>
      </c>
      <c r="D327" s="4">
        <v>6259</v>
      </c>
      <c r="E327" s="4">
        <v>231</v>
      </c>
    </row>
    <row r="328" spans="1:5" x14ac:dyDescent="0.35">
      <c r="A328" t="s">
        <v>369</v>
      </c>
      <c r="B328" s="2">
        <v>9665</v>
      </c>
      <c r="C328" s="4">
        <v>40009</v>
      </c>
      <c r="D328" s="4">
        <v>5437</v>
      </c>
      <c r="E328" s="4">
        <v>384</v>
      </c>
    </row>
    <row r="329" spans="1:5" x14ac:dyDescent="0.35">
      <c r="A329" t="s">
        <v>370</v>
      </c>
      <c r="B329" s="2">
        <v>9131</v>
      </c>
      <c r="C329" s="4">
        <v>39330</v>
      </c>
      <c r="D329" s="4">
        <v>3215</v>
      </c>
      <c r="E329" s="4">
        <v>116</v>
      </c>
    </row>
    <row r="330" spans="1:5" x14ac:dyDescent="0.35">
      <c r="A330" t="s">
        <v>371</v>
      </c>
      <c r="B330" s="2">
        <v>9780</v>
      </c>
      <c r="C330" s="4">
        <v>40706</v>
      </c>
      <c r="D330" s="4">
        <v>1278</v>
      </c>
      <c r="E330" s="4">
        <v>135</v>
      </c>
    </row>
    <row r="331" spans="1:5" x14ac:dyDescent="0.35">
      <c r="A331" t="s">
        <v>372</v>
      </c>
      <c r="B331" s="2">
        <v>9196</v>
      </c>
      <c r="C331" s="4">
        <v>27424</v>
      </c>
      <c r="D331" s="4">
        <v>5164</v>
      </c>
      <c r="E331" s="4">
        <v>517</v>
      </c>
    </row>
    <row r="332" spans="1:5" x14ac:dyDescent="0.35">
      <c r="A332" t="s">
        <v>373</v>
      </c>
      <c r="B332" s="2">
        <v>9433</v>
      </c>
      <c r="C332" s="4">
        <v>41489</v>
      </c>
      <c r="D332" s="4">
        <v>1290</v>
      </c>
      <c r="E332" s="4">
        <v>100</v>
      </c>
    </row>
    <row r="333" spans="1:5" x14ac:dyDescent="0.35">
      <c r="A333" t="s">
        <v>374</v>
      </c>
      <c r="B333" s="2">
        <v>9915</v>
      </c>
      <c r="C333" s="4">
        <v>28883</v>
      </c>
      <c r="D333" s="4">
        <v>2693</v>
      </c>
      <c r="E333" s="4">
        <v>112</v>
      </c>
    </row>
    <row r="334" spans="1:5" x14ac:dyDescent="0.35">
      <c r="A334" t="s">
        <v>375</v>
      </c>
      <c r="B334" s="2">
        <v>9040</v>
      </c>
      <c r="C334" s="4">
        <v>54861</v>
      </c>
      <c r="D334" s="4">
        <v>3953</v>
      </c>
      <c r="E334" s="4">
        <v>526</v>
      </c>
    </row>
    <row r="335" spans="1:5" x14ac:dyDescent="0.35">
      <c r="A335" t="s">
        <v>376</v>
      </c>
      <c r="B335" s="2">
        <v>9951</v>
      </c>
      <c r="C335" s="4">
        <v>29550</v>
      </c>
      <c r="D335" s="4">
        <v>3216</v>
      </c>
      <c r="E335" s="4">
        <v>365</v>
      </c>
    </row>
    <row r="336" spans="1:5" x14ac:dyDescent="0.35">
      <c r="A336" t="s">
        <v>377</v>
      </c>
      <c r="B336" s="2">
        <v>9515</v>
      </c>
      <c r="C336" s="4">
        <v>60904</v>
      </c>
      <c r="D336" s="4">
        <v>5165</v>
      </c>
      <c r="E336" s="4">
        <v>382</v>
      </c>
    </row>
    <row r="337" spans="1:5" x14ac:dyDescent="0.35">
      <c r="A337" t="s">
        <v>378</v>
      </c>
      <c r="B337" s="2">
        <v>9464</v>
      </c>
      <c r="C337" s="4">
        <v>62035</v>
      </c>
      <c r="D337" s="4">
        <v>2885</v>
      </c>
      <c r="E337" s="4">
        <v>648</v>
      </c>
    </row>
    <row r="338" spans="1:5" x14ac:dyDescent="0.35">
      <c r="A338" t="s">
        <v>379</v>
      </c>
      <c r="B338" s="2">
        <v>9151</v>
      </c>
      <c r="C338" s="4">
        <v>60008</v>
      </c>
      <c r="D338" s="4">
        <v>4334</v>
      </c>
      <c r="E338" s="4">
        <v>342</v>
      </c>
    </row>
    <row r="339" spans="1:5" x14ac:dyDescent="0.35">
      <c r="A339" t="s">
        <v>380</v>
      </c>
      <c r="B339" s="2">
        <v>9919</v>
      </c>
      <c r="C339" s="4">
        <v>46117</v>
      </c>
      <c r="D339" s="4">
        <v>5594</v>
      </c>
      <c r="E339" s="4">
        <v>548</v>
      </c>
    </row>
    <row r="340" spans="1:5" x14ac:dyDescent="0.35">
      <c r="A340" t="s">
        <v>381</v>
      </c>
      <c r="B340" s="2">
        <v>9777</v>
      </c>
      <c r="C340" s="4">
        <v>29078</v>
      </c>
      <c r="D340" s="4">
        <v>2594</v>
      </c>
      <c r="E340" s="4">
        <v>346</v>
      </c>
    </row>
    <row r="341" spans="1:5" x14ac:dyDescent="0.35">
      <c r="A341" t="s">
        <v>382</v>
      </c>
      <c r="B341" s="2">
        <v>9881</v>
      </c>
      <c r="C341" s="4">
        <v>16423</v>
      </c>
      <c r="D341" s="4">
        <v>1605</v>
      </c>
      <c r="E341" s="4">
        <v>321</v>
      </c>
    </row>
    <row r="342" spans="1:5" x14ac:dyDescent="0.35">
      <c r="A342" t="s">
        <v>383</v>
      </c>
      <c r="B342" s="2">
        <v>9193</v>
      </c>
      <c r="C342" s="4">
        <v>57436</v>
      </c>
      <c r="D342" s="4">
        <v>3208</v>
      </c>
      <c r="E342" s="4">
        <v>125</v>
      </c>
    </row>
    <row r="343" spans="1:5" x14ac:dyDescent="0.35">
      <c r="A343" t="s">
        <v>384</v>
      </c>
      <c r="B343" s="2">
        <v>9731</v>
      </c>
      <c r="C343" s="4">
        <v>14834</v>
      </c>
      <c r="D343" s="4">
        <v>2377</v>
      </c>
      <c r="E343" s="4">
        <v>254</v>
      </c>
    </row>
    <row r="344" spans="1:5" x14ac:dyDescent="0.35">
      <c r="A344" t="s">
        <v>385</v>
      </c>
      <c r="B344" s="2">
        <v>9465</v>
      </c>
      <c r="C344" s="4">
        <v>53279</v>
      </c>
      <c r="D344" s="4">
        <v>2030</v>
      </c>
      <c r="E344" s="4">
        <v>502</v>
      </c>
    </row>
    <row r="345" spans="1:5" x14ac:dyDescent="0.35">
      <c r="A345" t="s">
        <v>386</v>
      </c>
      <c r="B345" s="2">
        <v>9416</v>
      </c>
      <c r="C345" s="4">
        <v>23285</v>
      </c>
      <c r="D345" s="4">
        <v>4713</v>
      </c>
      <c r="E345" s="4">
        <v>282</v>
      </c>
    </row>
    <row r="346" spans="1:5" x14ac:dyDescent="0.35">
      <c r="A346" t="s">
        <v>387</v>
      </c>
      <c r="B346" s="2">
        <v>9924</v>
      </c>
      <c r="C346" s="4">
        <v>35414</v>
      </c>
      <c r="D346" s="4">
        <v>2923</v>
      </c>
      <c r="E346" s="4">
        <v>314</v>
      </c>
    </row>
    <row r="347" spans="1:5" x14ac:dyDescent="0.35">
      <c r="A347" t="s">
        <v>388</v>
      </c>
      <c r="B347" s="2">
        <v>9768</v>
      </c>
      <c r="C347" s="4">
        <v>20792</v>
      </c>
      <c r="D347" s="4">
        <v>1806</v>
      </c>
      <c r="E347" s="4">
        <v>168</v>
      </c>
    </row>
    <row r="348" spans="1:5" x14ac:dyDescent="0.35">
      <c r="A348" t="s">
        <v>389</v>
      </c>
      <c r="B348" s="2">
        <v>9126</v>
      </c>
      <c r="C348" s="4">
        <v>39378</v>
      </c>
      <c r="D348" s="4">
        <v>2183</v>
      </c>
      <c r="E348" s="4">
        <v>202</v>
      </c>
    </row>
  </sheetData>
  <mergeCells count="5">
    <mergeCell ref="A6:E6"/>
    <mergeCell ref="I12:M18"/>
    <mergeCell ref="I21:M27"/>
    <mergeCell ref="A1:H4"/>
    <mergeCell ref="H21:H22"/>
  </mergeCells>
  <conditionalFormatting sqref="A8:A348">
    <cfRule type="duplicateValues" dxfId="0" priority="1"/>
  </conditionalFormatting>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N78"/>
  <sheetViews>
    <sheetView topLeftCell="E1" zoomScale="73" workbookViewId="0">
      <selection activeCell="H38" sqref="H38"/>
    </sheetView>
  </sheetViews>
  <sheetFormatPr defaultColWidth="8.81640625" defaultRowHeight="14.5" x14ac:dyDescent="0.35"/>
  <cols>
    <col min="1" max="1" width="9.6328125" bestFit="1" customWidth="1"/>
    <col min="2" max="2" width="9.81640625" bestFit="1" customWidth="1"/>
    <col min="4" max="4" width="12.1796875" bestFit="1" customWidth="1"/>
    <col min="7" max="7" width="39.81640625" bestFit="1" customWidth="1"/>
    <col min="8" max="8" width="22" customWidth="1"/>
    <col min="9" max="9" width="17.08984375" customWidth="1"/>
    <col min="10" max="10" width="13.26953125" bestFit="1" customWidth="1"/>
    <col min="11" max="11" width="14" bestFit="1" customWidth="1"/>
    <col min="12" max="12" width="14.453125" bestFit="1" customWidth="1"/>
    <col min="13" max="13" width="15.81640625" bestFit="1" customWidth="1"/>
    <col min="14" max="14" width="14.6328125" bestFit="1" customWidth="1"/>
  </cols>
  <sheetData>
    <row r="1" spans="1:14" ht="15" customHeight="1" x14ac:dyDescent="0.35">
      <c r="A1" s="58" t="s">
        <v>411</v>
      </c>
      <c r="B1" s="58"/>
      <c r="C1" s="58"/>
      <c r="D1" s="58"/>
      <c r="E1" s="58"/>
      <c r="F1" s="58"/>
      <c r="G1" s="58"/>
      <c r="H1" s="58"/>
      <c r="L1" s="32" t="s">
        <v>428</v>
      </c>
      <c r="M1" t="s">
        <v>429</v>
      </c>
      <c r="N1" t="s">
        <v>431</v>
      </c>
    </row>
    <row r="2" spans="1:14" x14ac:dyDescent="0.35">
      <c r="A2" s="58"/>
      <c r="B2" s="58"/>
      <c r="C2" s="58"/>
      <c r="D2" s="58"/>
      <c r="E2" s="58"/>
      <c r="F2" s="58"/>
      <c r="G2" s="58"/>
      <c r="H2" s="58"/>
      <c r="L2" s="14" t="s">
        <v>406</v>
      </c>
      <c r="M2" s="18">
        <v>958</v>
      </c>
      <c r="N2" s="34">
        <v>8563</v>
      </c>
    </row>
    <row r="3" spans="1:14" x14ac:dyDescent="0.35">
      <c r="A3" s="58"/>
      <c r="B3" s="58"/>
      <c r="C3" s="58"/>
      <c r="D3" s="58"/>
      <c r="E3" s="58"/>
      <c r="F3" s="58"/>
      <c r="G3" s="58"/>
      <c r="H3" s="58"/>
      <c r="L3" s="33">
        <v>41791</v>
      </c>
      <c r="M3" s="18">
        <v>76</v>
      </c>
      <c r="N3" s="34">
        <v>686</v>
      </c>
    </row>
    <row r="4" spans="1:14" x14ac:dyDescent="0.35">
      <c r="A4" s="58"/>
      <c r="B4" s="58"/>
      <c r="C4" s="58"/>
      <c r="D4" s="58"/>
      <c r="E4" s="58"/>
      <c r="F4" s="58"/>
      <c r="G4" s="58"/>
      <c r="H4" s="58"/>
      <c r="L4" s="33">
        <v>41792</v>
      </c>
      <c r="M4" s="18">
        <v>81</v>
      </c>
      <c r="N4" s="34">
        <v>467</v>
      </c>
    </row>
    <row r="5" spans="1:14" x14ac:dyDescent="0.35">
      <c r="L5" s="33">
        <v>41793</v>
      </c>
      <c r="M5" s="18">
        <v>20</v>
      </c>
      <c r="N5" s="34">
        <v>734</v>
      </c>
    </row>
    <row r="6" spans="1:14" x14ac:dyDescent="0.35">
      <c r="A6" s="5" t="s">
        <v>0</v>
      </c>
      <c r="B6" s="5" t="s">
        <v>398</v>
      </c>
      <c r="C6" s="5" t="s">
        <v>399</v>
      </c>
      <c r="D6" s="5" t="s">
        <v>400</v>
      </c>
      <c r="L6" s="33">
        <v>41794</v>
      </c>
      <c r="M6" s="18">
        <v>100</v>
      </c>
      <c r="N6" s="34">
        <v>603</v>
      </c>
    </row>
    <row r="7" spans="1:14" x14ac:dyDescent="0.35">
      <c r="A7" s="1">
        <v>41791</v>
      </c>
      <c r="B7">
        <v>79</v>
      </c>
      <c r="C7" s="2">
        <v>772</v>
      </c>
      <c r="D7" t="s">
        <v>401</v>
      </c>
      <c r="H7" s="47" t="s">
        <v>435</v>
      </c>
      <c r="J7" s="47" t="s">
        <v>430</v>
      </c>
      <c r="L7" s="33">
        <v>41795</v>
      </c>
      <c r="M7" s="18">
        <v>57</v>
      </c>
      <c r="N7" s="34">
        <v>64</v>
      </c>
    </row>
    <row r="8" spans="1:14" x14ac:dyDescent="0.35">
      <c r="A8" s="1">
        <v>41792</v>
      </c>
      <c r="B8">
        <v>89</v>
      </c>
      <c r="C8" s="2">
        <v>234</v>
      </c>
      <c r="D8" t="s">
        <v>401</v>
      </c>
      <c r="G8" s="15" t="s">
        <v>405</v>
      </c>
      <c r="H8" s="38">
        <f>GETPIVOTDATA("Units Sold",$L$1,"Sales Person","Bob")</f>
        <v>958</v>
      </c>
      <c r="J8" s="48">
        <f>SUMIF(D7:D78,"Bob",B7:B78)</f>
        <v>958</v>
      </c>
      <c r="L8" s="33">
        <v>41796</v>
      </c>
      <c r="M8" s="18">
        <v>18</v>
      </c>
      <c r="N8" s="34">
        <v>913</v>
      </c>
    </row>
    <row r="9" spans="1:14" x14ac:dyDescent="0.35">
      <c r="A9" s="1">
        <v>41793</v>
      </c>
      <c r="B9">
        <v>90</v>
      </c>
      <c r="C9" s="2">
        <v>488</v>
      </c>
      <c r="D9" t="s">
        <v>401</v>
      </c>
      <c r="G9" s="15"/>
      <c r="L9" s="33">
        <v>41797</v>
      </c>
      <c r="M9" s="18">
        <v>44</v>
      </c>
      <c r="N9" s="34">
        <v>104</v>
      </c>
    </row>
    <row r="10" spans="1:14" x14ac:dyDescent="0.35">
      <c r="A10" s="1">
        <v>41794</v>
      </c>
      <c r="B10">
        <v>50</v>
      </c>
      <c r="C10" s="2">
        <v>633</v>
      </c>
      <c r="D10" t="s">
        <v>401</v>
      </c>
      <c r="G10" s="15" t="s">
        <v>410</v>
      </c>
      <c r="H10" s="26">
        <f>(GETPIVOTDATA("Units Sold",$L$1,"Date",DATE(2014,6,5),"Sales Person","Bob"))</f>
        <v>57</v>
      </c>
      <c r="J10" s="48" cm="1">
        <f t="array" ref="J10">INDEX(B7:B78,MATCH("6/5/2014"&amp;"Bob",TEXT(A7:A78,"m/d/yyyy")&amp;D7:D78,0))</f>
        <v>57</v>
      </c>
      <c r="L10" s="33">
        <v>41798</v>
      </c>
      <c r="M10" s="18">
        <v>57</v>
      </c>
      <c r="N10" s="34">
        <v>674</v>
      </c>
    </row>
    <row r="11" spans="1:14" x14ac:dyDescent="0.35">
      <c r="A11" s="1">
        <v>41795</v>
      </c>
      <c r="B11">
        <v>55</v>
      </c>
      <c r="C11" s="2">
        <v>379</v>
      </c>
      <c r="D11" t="s">
        <v>401</v>
      </c>
      <c r="L11" s="33">
        <v>41799</v>
      </c>
      <c r="M11" s="18">
        <v>62</v>
      </c>
      <c r="N11" s="34">
        <v>492</v>
      </c>
    </row>
    <row r="12" spans="1:14" x14ac:dyDescent="0.35">
      <c r="A12" s="1">
        <v>41796</v>
      </c>
      <c r="B12">
        <v>99</v>
      </c>
      <c r="C12" s="2">
        <v>532</v>
      </c>
      <c r="D12" t="s">
        <v>401</v>
      </c>
      <c r="G12" s="15" t="s">
        <v>403</v>
      </c>
      <c r="H12" s="37" t="str">
        <f>INDEX(G24:G27,MATCH(MAX(H24:H27),H24:H27,0))</f>
        <v>Joe</v>
      </c>
      <c r="L12" s="33">
        <v>41800</v>
      </c>
      <c r="M12" s="18">
        <v>13</v>
      </c>
      <c r="N12" s="34">
        <v>435</v>
      </c>
    </row>
    <row r="13" spans="1:14" x14ac:dyDescent="0.35">
      <c r="A13" s="1">
        <v>41797</v>
      </c>
      <c r="B13">
        <v>79</v>
      </c>
      <c r="C13" s="2">
        <v>899</v>
      </c>
      <c r="D13" t="s">
        <v>401</v>
      </c>
      <c r="G13" s="15"/>
      <c r="L13" s="33">
        <v>41801</v>
      </c>
      <c r="M13" s="18">
        <v>26</v>
      </c>
      <c r="N13" s="34">
        <v>117</v>
      </c>
    </row>
    <row r="14" spans="1:14" x14ac:dyDescent="0.35">
      <c r="A14" s="1">
        <v>41798</v>
      </c>
      <c r="B14">
        <v>51</v>
      </c>
      <c r="C14" s="2">
        <v>756</v>
      </c>
      <c r="D14" t="s">
        <v>401</v>
      </c>
      <c r="G14" s="15" t="s">
        <v>404</v>
      </c>
      <c r="H14" s="29" t="str">
        <f>INDEX(G24:G27,MATCH(MAX(I24:I27),I24:I27,0))</f>
        <v>Joe</v>
      </c>
      <c r="L14" s="33">
        <v>41802</v>
      </c>
      <c r="M14" s="18">
        <v>57</v>
      </c>
      <c r="N14" s="34">
        <v>630</v>
      </c>
    </row>
    <row r="15" spans="1:14" x14ac:dyDescent="0.35">
      <c r="A15" s="1">
        <v>41799</v>
      </c>
      <c r="B15">
        <v>71</v>
      </c>
      <c r="C15" s="2">
        <v>325</v>
      </c>
      <c r="D15" t="s">
        <v>401</v>
      </c>
      <c r="L15" s="33">
        <v>41803</v>
      </c>
      <c r="M15" s="18">
        <v>10</v>
      </c>
      <c r="N15" s="34">
        <v>840</v>
      </c>
    </row>
    <row r="16" spans="1:14" x14ac:dyDescent="0.35">
      <c r="A16" s="1">
        <v>41800</v>
      </c>
      <c r="B16">
        <v>70</v>
      </c>
      <c r="C16" s="2">
        <v>890</v>
      </c>
      <c r="D16" t="s">
        <v>401</v>
      </c>
      <c r="I16" s="2"/>
      <c r="L16" s="33">
        <v>41804</v>
      </c>
      <c r="M16" s="18">
        <v>92</v>
      </c>
      <c r="N16" s="34">
        <v>93</v>
      </c>
    </row>
    <row r="17" spans="1:14" x14ac:dyDescent="0.35">
      <c r="A17" s="1">
        <v>41801</v>
      </c>
      <c r="B17">
        <v>45</v>
      </c>
      <c r="C17" s="2">
        <v>123</v>
      </c>
      <c r="D17" t="s">
        <v>401</v>
      </c>
      <c r="I17" s="2"/>
      <c r="L17" s="33">
        <v>41805</v>
      </c>
      <c r="M17" s="18">
        <v>75</v>
      </c>
      <c r="N17" s="34">
        <v>77</v>
      </c>
    </row>
    <row r="18" spans="1:14" x14ac:dyDescent="0.35">
      <c r="A18" s="1">
        <v>41802</v>
      </c>
      <c r="B18">
        <v>41</v>
      </c>
      <c r="C18" s="2">
        <v>200</v>
      </c>
      <c r="D18" t="s">
        <v>401</v>
      </c>
      <c r="I18" s="2"/>
      <c r="L18" s="33">
        <v>41806</v>
      </c>
      <c r="M18" s="18">
        <v>99</v>
      </c>
      <c r="N18" s="34">
        <v>602</v>
      </c>
    </row>
    <row r="19" spans="1:14" x14ac:dyDescent="0.35">
      <c r="A19" s="1">
        <v>41803</v>
      </c>
      <c r="B19">
        <v>51</v>
      </c>
      <c r="C19" s="2">
        <v>316</v>
      </c>
      <c r="D19" t="s">
        <v>401</v>
      </c>
      <c r="I19" s="2"/>
      <c r="L19" s="33">
        <v>41807</v>
      </c>
      <c r="M19" s="18">
        <v>70</v>
      </c>
      <c r="N19" s="34">
        <v>768</v>
      </c>
    </row>
    <row r="20" spans="1:14" x14ac:dyDescent="0.35">
      <c r="A20" s="1">
        <v>41804</v>
      </c>
      <c r="B20">
        <v>83</v>
      </c>
      <c r="C20" s="2">
        <v>763</v>
      </c>
      <c r="D20" t="s">
        <v>401</v>
      </c>
      <c r="L20" s="33">
        <v>41808</v>
      </c>
      <c r="M20" s="18">
        <v>1</v>
      </c>
      <c r="N20" s="34">
        <v>264</v>
      </c>
    </row>
    <row r="21" spans="1:14" x14ac:dyDescent="0.35">
      <c r="A21" s="1">
        <v>41805</v>
      </c>
      <c r="B21">
        <v>70</v>
      </c>
      <c r="C21" s="2">
        <v>623</v>
      </c>
      <c r="D21" t="s">
        <v>401</v>
      </c>
      <c r="G21" s="35" t="s">
        <v>432</v>
      </c>
      <c r="L21" s="14" t="s">
        <v>401</v>
      </c>
      <c r="M21" s="18">
        <v>1188</v>
      </c>
      <c r="N21" s="34">
        <v>9179</v>
      </c>
    </row>
    <row r="22" spans="1:14" x14ac:dyDescent="0.35">
      <c r="A22" s="1">
        <v>41806</v>
      </c>
      <c r="B22">
        <v>65</v>
      </c>
      <c r="C22" s="2">
        <v>339</v>
      </c>
      <c r="D22" t="s">
        <v>401</v>
      </c>
      <c r="L22" s="14" t="s">
        <v>402</v>
      </c>
      <c r="M22" s="18">
        <v>1005</v>
      </c>
      <c r="N22" s="34">
        <v>8802</v>
      </c>
    </row>
    <row r="23" spans="1:14" x14ac:dyDescent="0.35">
      <c r="A23" s="1">
        <v>41807</v>
      </c>
      <c r="B23">
        <v>88</v>
      </c>
      <c r="C23" s="2">
        <v>94</v>
      </c>
      <c r="D23" t="s">
        <v>401</v>
      </c>
      <c r="G23" s="36" t="s">
        <v>428</v>
      </c>
      <c r="H23" s="36" t="s">
        <v>429</v>
      </c>
      <c r="I23" s="36" t="s">
        <v>431</v>
      </c>
      <c r="L23" s="14" t="s">
        <v>407</v>
      </c>
      <c r="M23" s="18">
        <v>773</v>
      </c>
      <c r="N23" s="34">
        <v>8828</v>
      </c>
    </row>
    <row r="24" spans="1:14" x14ac:dyDescent="0.35">
      <c r="A24" s="1">
        <v>41808</v>
      </c>
      <c r="B24">
        <v>12</v>
      </c>
      <c r="C24" s="2">
        <v>813</v>
      </c>
      <c r="D24" t="s">
        <v>401</v>
      </c>
      <c r="G24" s="36" t="s">
        <v>406</v>
      </c>
      <c r="H24" s="36">
        <v>958</v>
      </c>
      <c r="I24" s="36">
        <v>8563</v>
      </c>
      <c r="L24" s="14" t="s">
        <v>425</v>
      </c>
      <c r="M24" s="18">
        <v>3924</v>
      </c>
      <c r="N24" s="34">
        <v>35372</v>
      </c>
    </row>
    <row r="25" spans="1:14" x14ac:dyDescent="0.35">
      <c r="A25" s="1">
        <v>41791</v>
      </c>
      <c r="B25">
        <v>20</v>
      </c>
      <c r="C25" s="2">
        <v>603</v>
      </c>
      <c r="D25" t="s">
        <v>402</v>
      </c>
      <c r="G25" s="36" t="s">
        <v>401</v>
      </c>
      <c r="H25" s="36">
        <v>1188</v>
      </c>
      <c r="I25" s="36">
        <v>9179</v>
      </c>
    </row>
    <row r="26" spans="1:14" x14ac:dyDescent="0.35">
      <c r="A26" s="1">
        <v>41792</v>
      </c>
      <c r="B26">
        <v>32</v>
      </c>
      <c r="C26" s="2">
        <v>883</v>
      </c>
      <c r="D26" t="s">
        <v>402</v>
      </c>
      <c r="E26" t="str">
        <f t="shared" ref="E26:E30" si="0">IF(D26=D25,"",SUMIF(D25:D97,D26,B25:B97))</f>
        <v/>
      </c>
      <c r="G26" s="36" t="s">
        <v>402</v>
      </c>
      <c r="H26" s="36">
        <v>1005</v>
      </c>
      <c r="I26" s="36">
        <v>8802</v>
      </c>
    </row>
    <row r="27" spans="1:14" x14ac:dyDescent="0.35">
      <c r="A27" s="1">
        <v>41793</v>
      </c>
      <c r="B27">
        <v>62</v>
      </c>
      <c r="C27" s="2">
        <v>128</v>
      </c>
      <c r="D27" t="s">
        <v>402</v>
      </c>
      <c r="E27" t="str">
        <f t="shared" si="0"/>
        <v/>
      </c>
      <c r="G27" s="36" t="s">
        <v>407</v>
      </c>
      <c r="H27" s="36">
        <v>773</v>
      </c>
      <c r="I27" s="36">
        <v>8828</v>
      </c>
    </row>
    <row r="28" spans="1:14" x14ac:dyDescent="0.35">
      <c r="A28" s="1">
        <v>41794</v>
      </c>
      <c r="B28">
        <v>80</v>
      </c>
      <c r="C28" s="2">
        <v>895</v>
      </c>
      <c r="D28" t="s">
        <v>402</v>
      </c>
      <c r="E28" t="str">
        <f t="shared" si="0"/>
        <v/>
      </c>
      <c r="G28" s="36" t="s">
        <v>425</v>
      </c>
      <c r="H28" s="36">
        <v>3924</v>
      </c>
      <c r="I28" s="36">
        <v>35372</v>
      </c>
    </row>
    <row r="29" spans="1:14" x14ac:dyDescent="0.35">
      <c r="A29" s="1">
        <v>41795</v>
      </c>
      <c r="B29">
        <v>87</v>
      </c>
      <c r="C29" s="2">
        <v>305</v>
      </c>
      <c r="D29" t="s">
        <v>402</v>
      </c>
      <c r="E29" t="str">
        <f t="shared" si="0"/>
        <v/>
      </c>
    </row>
    <row r="30" spans="1:14" x14ac:dyDescent="0.35">
      <c r="A30" s="1">
        <v>41796</v>
      </c>
      <c r="B30">
        <v>90</v>
      </c>
      <c r="C30" s="2">
        <v>141</v>
      </c>
      <c r="D30" t="s">
        <v>402</v>
      </c>
      <c r="E30" t="str">
        <f t="shared" si="0"/>
        <v/>
      </c>
    </row>
    <row r="31" spans="1:14" x14ac:dyDescent="0.35">
      <c r="A31" s="1">
        <v>41797</v>
      </c>
      <c r="B31">
        <v>78</v>
      </c>
      <c r="C31" s="2">
        <v>438</v>
      </c>
      <c r="D31" t="s">
        <v>402</v>
      </c>
    </row>
    <row r="32" spans="1:14" x14ac:dyDescent="0.35">
      <c r="A32" s="1">
        <v>41798</v>
      </c>
      <c r="B32">
        <v>75</v>
      </c>
      <c r="C32" s="2">
        <v>311</v>
      </c>
      <c r="D32" t="s">
        <v>402</v>
      </c>
    </row>
    <row r="33" spans="1:4" x14ac:dyDescent="0.35">
      <c r="A33" s="1">
        <v>41799</v>
      </c>
      <c r="B33">
        <v>30</v>
      </c>
      <c r="C33" s="2">
        <v>157</v>
      </c>
      <c r="D33" t="s">
        <v>402</v>
      </c>
    </row>
    <row r="34" spans="1:4" x14ac:dyDescent="0.35">
      <c r="A34" s="1">
        <v>41800</v>
      </c>
      <c r="B34">
        <v>42</v>
      </c>
      <c r="C34" s="2">
        <v>638</v>
      </c>
      <c r="D34" t="s">
        <v>402</v>
      </c>
    </row>
    <row r="35" spans="1:4" x14ac:dyDescent="0.35">
      <c r="A35" s="1">
        <v>41801</v>
      </c>
      <c r="B35">
        <v>12</v>
      </c>
      <c r="C35" s="2">
        <v>250</v>
      </c>
      <c r="D35" t="s">
        <v>402</v>
      </c>
    </row>
    <row r="36" spans="1:4" x14ac:dyDescent="0.35">
      <c r="A36" s="1">
        <v>41802</v>
      </c>
      <c r="B36">
        <v>47</v>
      </c>
      <c r="C36" s="2">
        <v>508</v>
      </c>
      <c r="D36" t="s">
        <v>402</v>
      </c>
    </row>
    <row r="37" spans="1:4" x14ac:dyDescent="0.35">
      <c r="A37" s="1">
        <v>41803</v>
      </c>
      <c r="B37">
        <v>26</v>
      </c>
      <c r="C37" s="2">
        <v>573</v>
      </c>
      <c r="D37" t="s">
        <v>402</v>
      </c>
    </row>
    <row r="38" spans="1:4" x14ac:dyDescent="0.35">
      <c r="A38" s="1">
        <v>41804</v>
      </c>
      <c r="B38">
        <v>59</v>
      </c>
      <c r="C38" s="2">
        <v>553</v>
      </c>
      <c r="D38" t="s">
        <v>402</v>
      </c>
    </row>
    <row r="39" spans="1:4" x14ac:dyDescent="0.35">
      <c r="A39" s="1">
        <v>41805</v>
      </c>
      <c r="B39">
        <v>100</v>
      </c>
      <c r="C39" s="2">
        <v>396</v>
      </c>
      <c r="D39" t="s">
        <v>402</v>
      </c>
    </row>
    <row r="40" spans="1:4" x14ac:dyDescent="0.35">
      <c r="A40" s="1">
        <v>41806</v>
      </c>
      <c r="B40">
        <v>58</v>
      </c>
      <c r="C40" s="2">
        <v>740</v>
      </c>
      <c r="D40" t="s">
        <v>402</v>
      </c>
    </row>
    <row r="41" spans="1:4" x14ac:dyDescent="0.35">
      <c r="A41" s="1">
        <v>41807</v>
      </c>
      <c r="B41">
        <v>67</v>
      </c>
      <c r="C41" s="2">
        <v>713</v>
      </c>
      <c r="D41" t="s">
        <v>402</v>
      </c>
    </row>
    <row r="42" spans="1:4" x14ac:dyDescent="0.35">
      <c r="A42" s="1">
        <v>41808</v>
      </c>
      <c r="B42">
        <v>40</v>
      </c>
      <c r="C42" s="2">
        <v>570</v>
      </c>
      <c r="D42" t="s">
        <v>402</v>
      </c>
    </row>
    <row r="43" spans="1:4" x14ac:dyDescent="0.35">
      <c r="A43" s="1">
        <v>41791</v>
      </c>
      <c r="B43">
        <v>76</v>
      </c>
      <c r="C43" s="2">
        <v>686</v>
      </c>
      <c r="D43" t="s">
        <v>406</v>
      </c>
    </row>
    <row r="44" spans="1:4" x14ac:dyDescent="0.35">
      <c r="A44" s="1">
        <v>41792</v>
      </c>
      <c r="B44">
        <v>81</v>
      </c>
      <c r="C44" s="2">
        <v>467</v>
      </c>
      <c r="D44" t="s">
        <v>406</v>
      </c>
    </row>
    <row r="45" spans="1:4" x14ac:dyDescent="0.35">
      <c r="A45" s="1">
        <v>41793</v>
      </c>
      <c r="B45">
        <v>20</v>
      </c>
      <c r="C45" s="2">
        <v>734</v>
      </c>
      <c r="D45" t="s">
        <v>406</v>
      </c>
    </row>
    <row r="46" spans="1:4" x14ac:dyDescent="0.35">
      <c r="A46" s="1">
        <v>41794</v>
      </c>
      <c r="B46">
        <v>100</v>
      </c>
      <c r="C46" s="2">
        <v>603</v>
      </c>
      <c r="D46" t="s">
        <v>406</v>
      </c>
    </row>
    <row r="47" spans="1:4" x14ac:dyDescent="0.35">
      <c r="A47" s="1">
        <v>41795</v>
      </c>
      <c r="B47">
        <v>57</v>
      </c>
      <c r="C47" s="2">
        <v>64</v>
      </c>
      <c r="D47" t="s">
        <v>406</v>
      </c>
    </row>
    <row r="48" spans="1:4" x14ac:dyDescent="0.35">
      <c r="A48" s="1">
        <v>41796</v>
      </c>
      <c r="B48">
        <v>18</v>
      </c>
      <c r="C48" s="2">
        <v>913</v>
      </c>
      <c r="D48" t="s">
        <v>406</v>
      </c>
    </row>
    <row r="49" spans="1:4" x14ac:dyDescent="0.35">
      <c r="A49" s="1">
        <v>41797</v>
      </c>
      <c r="B49">
        <v>44</v>
      </c>
      <c r="C49" s="2">
        <v>104</v>
      </c>
      <c r="D49" t="s">
        <v>406</v>
      </c>
    </row>
    <row r="50" spans="1:4" x14ac:dyDescent="0.35">
      <c r="A50" s="1">
        <v>41798</v>
      </c>
      <c r="B50">
        <v>57</v>
      </c>
      <c r="C50" s="2">
        <v>674</v>
      </c>
      <c r="D50" t="s">
        <v>406</v>
      </c>
    </row>
    <row r="51" spans="1:4" x14ac:dyDescent="0.35">
      <c r="A51" s="1">
        <v>41799</v>
      </c>
      <c r="B51">
        <v>62</v>
      </c>
      <c r="C51" s="2">
        <v>492</v>
      </c>
      <c r="D51" t="s">
        <v>406</v>
      </c>
    </row>
    <row r="52" spans="1:4" x14ac:dyDescent="0.35">
      <c r="A52" s="1">
        <v>41800</v>
      </c>
      <c r="B52">
        <v>13</v>
      </c>
      <c r="C52" s="2">
        <v>435</v>
      </c>
      <c r="D52" t="s">
        <v>406</v>
      </c>
    </row>
    <row r="53" spans="1:4" x14ac:dyDescent="0.35">
      <c r="A53" s="1">
        <v>41801</v>
      </c>
      <c r="B53">
        <v>26</v>
      </c>
      <c r="C53" s="2">
        <v>117</v>
      </c>
      <c r="D53" t="s">
        <v>406</v>
      </c>
    </row>
    <row r="54" spans="1:4" x14ac:dyDescent="0.35">
      <c r="A54" s="1">
        <v>41802</v>
      </c>
      <c r="B54">
        <v>57</v>
      </c>
      <c r="C54" s="2">
        <v>630</v>
      </c>
      <c r="D54" t="s">
        <v>406</v>
      </c>
    </row>
    <row r="55" spans="1:4" x14ac:dyDescent="0.35">
      <c r="A55" s="1">
        <v>41803</v>
      </c>
      <c r="B55">
        <v>10</v>
      </c>
      <c r="C55" s="2">
        <v>840</v>
      </c>
      <c r="D55" t="s">
        <v>406</v>
      </c>
    </row>
    <row r="56" spans="1:4" x14ac:dyDescent="0.35">
      <c r="A56" s="1">
        <v>41804</v>
      </c>
      <c r="B56">
        <v>92</v>
      </c>
      <c r="C56" s="2">
        <v>93</v>
      </c>
      <c r="D56" t="s">
        <v>406</v>
      </c>
    </row>
    <row r="57" spans="1:4" x14ac:dyDescent="0.35">
      <c r="A57" s="1">
        <v>41805</v>
      </c>
      <c r="B57">
        <v>75</v>
      </c>
      <c r="C57" s="2">
        <v>77</v>
      </c>
      <c r="D57" t="s">
        <v>406</v>
      </c>
    </row>
    <row r="58" spans="1:4" x14ac:dyDescent="0.35">
      <c r="A58" s="1">
        <v>41806</v>
      </c>
      <c r="B58">
        <v>99</v>
      </c>
      <c r="C58" s="2">
        <v>602</v>
      </c>
      <c r="D58" t="s">
        <v>406</v>
      </c>
    </row>
    <row r="59" spans="1:4" x14ac:dyDescent="0.35">
      <c r="A59" s="1">
        <v>41807</v>
      </c>
      <c r="B59">
        <v>70</v>
      </c>
      <c r="C59" s="2">
        <v>768</v>
      </c>
      <c r="D59" t="s">
        <v>406</v>
      </c>
    </row>
    <row r="60" spans="1:4" x14ac:dyDescent="0.35">
      <c r="A60" s="1">
        <v>41808</v>
      </c>
      <c r="B60">
        <v>1</v>
      </c>
      <c r="C60" s="2">
        <v>264</v>
      </c>
      <c r="D60" t="s">
        <v>406</v>
      </c>
    </row>
    <row r="61" spans="1:4" x14ac:dyDescent="0.35">
      <c r="A61" s="1">
        <v>41791</v>
      </c>
      <c r="B61">
        <v>58</v>
      </c>
      <c r="C61" s="2">
        <v>448</v>
      </c>
      <c r="D61" t="s">
        <v>407</v>
      </c>
    </row>
    <row r="62" spans="1:4" x14ac:dyDescent="0.35">
      <c r="A62" s="1">
        <v>41792</v>
      </c>
      <c r="B62">
        <v>29</v>
      </c>
      <c r="C62" s="2">
        <v>350</v>
      </c>
      <c r="D62" t="s">
        <v>407</v>
      </c>
    </row>
    <row r="63" spans="1:4" x14ac:dyDescent="0.35">
      <c r="A63" s="1">
        <v>41793</v>
      </c>
      <c r="B63">
        <v>16</v>
      </c>
      <c r="C63" s="2">
        <v>476</v>
      </c>
      <c r="D63" t="s">
        <v>407</v>
      </c>
    </row>
    <row r="64" spans="1:4" x14ac:dyDescent="0.35">
      <c r="A64" s="1">
        <v>41794</v>
      </c>
      <c r="B64">
        <v>95</v>
      </c>
      <c r="C64" s="2">
        <v>461</v>
      </c>
      <c r="D64" t="s">
        <v>407</v>
      </c>
    </row>
    <row r="65" spans="1:4" x14ac:dyDescent="0.35">
      <c r="A65" s="1">
        <v>41795</v>
      </c>
      <c r="B65">
        <v>71</v>
      </c>
      <c r="C65" s="2">
        <v>425</v>
      </c>
      <c r="D65" t="s">
        <v>407</v>
      </c>
    </row>
    <row r="66" spans="1:4" x14ac:dyDescent="0.35">
      <c r="A66" s="1">
        <v>41796</v>
      </c>
      <c r="B66">
        <v>9</v>
      </c>
      <c r="C66" s="2">
        <v>414</v>
      </c>
      <c r="D66" t="s">
        <v>407</v>
      </c>
    </row>
    <row r="67" spans="1:4" x14ac:dyDescent="0.35">
      <c r="A67" s="1">
        <v>41797</v>
      </c>
      <c r="B67">
        <v>80</v>
      </c>
      <c r="C67" s="2">
        <v>843</v>
      </c>
      <c r="D67" t="s">
        <v>407</v>
      </c>
    </row>
    <row r="68" spans="1:4" x14ac:dyDescent="0.35">
      <c r="A68" s="1">
        <v>41798</v>
      </c>
      <c r="B68">
        <v>7</v>
      </c>
      <c r="C68" s="2">
        <v>862</v>
      </c>
      <c r="D68" t="s">
        <v>407</v>
      </c>
    </row>
    <row r="69" spans="1:4" x14ac:dyDescent="0.35">
      <c r="A69" s="1">
        <v>41799</v>
      </c>
      <c r="B69">
        <v>78</v>
      </c>
      <c r="C69" s="2">
        <v>896</v>
      </c>
      <c r="D69" t="s">
        <v>407</v>
      </c>
    </row>
    <row r="70" spans="1:4" x14ac:dyDescent="0.35">
      <c r="A70" s="1">
        <v>41800</v>
      </c>
      <c r="B70">
        <v>56</v>
      </c>
      <c r="C70" s="2">
        <v>184</v>
      </c>
      <c r="D70" t="s">
        <v>407</v>
      </c>
    </row>
    <row r="71" spans="1:4" x14ac:dyDescent="0.35">
      <c r="A71" s="1">
        <v>41801</v>
      </c>
      <c r="B71">
        <v>10</v>
      </c>
      <c r="C71" s="2">
        <v>706</v>
      </c>
      <c r="D71" t="s">
        <v>407</v>
      </c>
    </row>
    <row r="72" spans="1:4" x14ac:dyDescent="0.35">
      <c r="A72" s="1">
        <v>41802</v>
      </c>
      <c r="B72">
        <v>23</v>
      </c>
      <c r="C72" s="2">
        <v>309</v>
      </c>
      <c r="D72" t="s">
        <v>407</v>
      </c>
    </row>
    <row r="73" spans="1:4" x14ac:dyDescent="0.35">
      <c r="A73" s="1">
        <v>41803</v>
      </c>
      <c r="B73">
        <v>90</v>
      </c>
      <c r="C73" s="2">
        <v>185</v>
      </c>
      <c r="D73" t="s">
        <v>407</v>
      </c>
    </row>
    <row r="74" spans="1:4" x14ac:dyDescent="0.35">
      <c r="A74" s="1">
        <v>41804</v>
      </c>
      <c r="B74">
        <v>28</v>
      </c>
      <c r="C74" s="2">
        <v>473</v>
      </c>
      <c r="D74" t="s">
        <v>407</v>
      </c>
    </row>
    <row r="75" spans="1:4" x14ac:dyDescent="0.35">
      <c r="A75" s="1">
        <v>41805</v>
      </c>
      <c r="B75">
        <v>44</v>
      </c>
      <c r="C75" s="2">
        <v>114</v>
      </c>
      <c r="D75" t="s">
        <v>407</v>
      </c>
    </row>
    <row r="76" spans="1:4" x14ac:dyDescent="0.35">
      <c r="A76" s="1">
        <v>41806</v>
      </c>
      <c r="B76">
        <v>25</v>
      </c>
      <c r="C76" s="2">
        <v>572</v>
      </c>
      <c r="D76" t="s">
        <v>407</v>
      </c>
    </row>
    <row r="77" spans="1:4" x14ac:dyDescent="0.35">
      <c r="A77" s="1">
        <v>41807</v>
      </c>
      <c r="B77">
        <v>25</v>
      </c>
      <c r="C77" s="2">
        <v>903</v>
      </c>
      <c r="D77" t="s">
        <v>407</v>
      </c>
    </row>
    <row r="78" spans="1:4" x14ac:dyDescent="0.35">
      <c r="A78" s="1">
        <v>41808</v>
      </c>
      <c r="B78">
        <v>29</v>
      </c>
      <c r="C78" s="2">
        <v>207</v>
      </c>
      <c r="D78" t="s">
        <v>407</v>
      </c>
    </row>
  </sheetData>
  <autoFilter ref="A6:D78" xr:uid="{00000000-0001-0000-0700-000000000000}"/>
  <mergeCells count="1">
    <mergeCell ref="A1:H4"/>
  </mergeCells>
  <pageMargins left="0.7" right="0.7" top="0.75" bottom="0.75" header="0.3" footer="0.3"/>
  <pageSetup orientation="portrait" horizontalDpi="300" verticalDpi="300" r:id="rId2"/>
  <ignoredErrors>
    <ignoredError sqref="H12 H14" formulaRange="1"/>
  </ignoredErrors>
  <tableParts count="1">
    <tablePart r:id="rId3"/>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S19"/>
  <sheetViews>
    <sheetView tabSelected="1" zoomScale="47" workbookViewId="0">
      <selection activeCell="T34" sqref="T34"/>
    </sheetView>
  </sheetViews>
  <sheetFormatPr defaultColWidth="8.81640625" defaultRowHeight="14.5" x14ac:dyDescent="0.35"/>
  <cols>
    <col min="18" max="18" width="20.6328125" bestFit="1" customWidth="1"/>
  </cols>
  <sheetData>
    <row r="1" spans="1:19" x14ac:dyDescent="0.35">
      <c r="A1" s="58" t="s">
        <v>408</v>
      </c>
      <c r="B1" s="58"/>
      <c r="C1" s="58"/>
      <c r="D1" s="58"/>
      <c r="E1" s="58"/>
      <c r="F1" s="58"/>
      <c r="G1" s="58"/>
      <c r="H1" s="58"/>
      <c r="I1" s="58"/>
      <c r="J1" s="58"/>
      <c r="K1" s="58"/>
      <c r="L1" s="58"/>
      <c r="M1" s="58"/>
      <c r="N1" s="58"/>
      <c r="O1" s="58"/>
      <c r="P1" s="58"/>
    </row>
    <row r="2" spans="1:19" x14ac:dyDescent="0.35">
      <c r="A2" s="58"/>
      <c r="B2" s="58"/>
      <c r="C2" s="58"/>
      <c r="D2" s="58"/>
      <c r="E2" s="58"/>
      <c r="F2" s="58"/>
      <c r="G2" s="58"/>
      <c r="H2" s="58"/>
      <c r="I2" s="58"/>
      <c r="J2" s="58"/>
      <c r="K2" s="58"/>
      <c r="L2" s="58"/>
      <c r="M2" s="58"/>
      <c r="N2" s="58"/>
      <c r="O2" s="58"/>
      <c r="P2" s="58"/>
    </row>
    <row r="4" spans="1:19" x14ac:dyDescent="0.35">
      <c r="A4" s="25">
        <v>222</v>
      </c>
      <c r="B4">
        <v>595</v>
      </c>
      <c r="C4">
        <v>676</v>
      </c>
      <c r="D4">
        <v>864</v>
      </c>
      <c r="E4">
        <v>298</v>
      </c>
      <c r="F4">
        <v>748</v>
      </c>
      <c r="G4">
        <v>330</v>
      </c>
      <c r="H4">
        <v>476</v>
      </c>
      <c r="I4">
        <v>65</v>
      </c>
      <c r="J4">
        <v>485</v>
      </c>
      <c r="K4">
        <v>138</v>
      </c>
      <c r="L4">
        <v>477</v>
      </c>
      <c r="M4">
        <v>619</v>
      </c>
      <c r="N4">
        <v>564</v>
      </c>
      <c r="O4">
        <v>75</v>
      </c>
      <c r="P4">
        <v>6</v>
      </c>
      <c r="R4" t="s">
        <v>409</v>
      </c>
      <c r="S4" s="16">
        <v>758</v>
      </c>
    </row>
    <row r="5" spans="1:19" x14ac:dyDescent="0.35">
      <c r="A5">
        <v>874</v>
      </c>
      <c r="B5">
        <v>485</v>
      </c>
      <c r="C5">
        <v>187</v>
      </c>
      <c r="D5">
        <v>485</v>
      </c>
      <c r="E5">
        <v>286</v>
      </c>
      <c r="F5">
        <v>868</v>
      </c>
      <c r="G5">
        <v>396</v>
      </c>
      <c r="H5">
        <v>37</v>
      </c>
      <c r="I5">
        <v>468</v>
      </c>
      <c r="J5">
        <v>318</v>
      </c>
      <c r="K5">
        <v>100</v>
      </c>
      <c r="L5">
        <v>594</v>
      </c>
      <c r="M5">
        <v>825</v>
      </c>
      <c r="N5">
        <v>952</v>
      </c>
      <c r="O5">
        <v>735</v>
      </c>
      <c r="P5">
        <v>959</v>
      </c>
    </row>
    <row r="6" spans="1:19" x14ac:dyDescent="0.35">
      <c r="A6">
        <v>76</v>
      </c>
      <c r="B6">
        <v>803</v>
      </c>
      <c r="C6">
        <v>90</v>
      </c>
      <c r="D6">
        <v>781</v>
      </c>
      <c r="E6">
        <v>578</v>
      </c>
      <c r="F6">
        <v>528</v>
      </c>
      <c r="G6">
        <v>633</v>
      </c>
      <c r="H6">
        <v>551</v>
      </c>
      <c r="I6">
        <v>580</v>
      </c>
      <c r="J6">
        <v>700</v>
      </c>
      <c r="K6">
        <v>651</v>
      </c>
      <c r="L6">
        <v>357</v>
      </c>
      <c r="M6">
        <v>532</v>
      </c>
      <c r="N6">
        <v>987</v>
      </c>
      <c r="O6">
        <v>863</v>
      </c>
      <c r="P6">
        <v>42</v>
      </c>
    </row>
    <row r="7" spans="1:19" x14ac:dyDescent="0.35">
      <c r="A7">
        <v>266</v>
      </c>
      <c r="B7">
        <v>75</v>
      </c>
      <c r="C7">
        <v>462</v>
      </c>
      <c r="D7">
        <v>589</v>
      </c>
      <c r="E7">
        <v>399</v>
      </c>
      <c r="F7">
        <v>673</v>
      </c>
      <c r="G7">
        <v>304</v>
      </c>
      <c r="H7">
        <v>270</v>
      </c>
      <c r="I7">
        <v>134</v>
      </c>
      <c r="J7">
        <v>377</v>
      </c>
      <c r="K7">
        <v>524</v>
      </c>
      <c r="L7">
        <v>351</v>
      </c>
      <c r="M7">
        <v>807</v>
      </c>
      <c r="N7">
        <v>906</v>
      </c>
      <c r="O7">
        <v>556</v>
      </c>
      <c r="P7">
        <v>656</v>
      </c>
    </row>
    <row r="8" spans="1:19" x14ac:dyDescent="0.35">
      <c r="A8">
        <v>331</v>
      </c>
      <c r="B8">
        <v>304</v>
      </c>
      <c r="C8">
        <v>551</v>
      </c>
      <c r="D8">
        <v>82</v>
      </c>
      <c r="E8">
        <v>672</v>
      </c>
      <c r="F8">
        <v>117</v>
      </c>
      <c r="G8">
        <v>33</v>
      </c>
      <c r="H8">
        <v>775</v>
      </c>
      <c r="I8">
        <v>432</v>
      </c>
      <c r="J8">
        <v>970</v>
      </c>
      <c r="K8">
        <v>42</v>
      </c>
      <c r="L8">
        <v>524</v>
      </c>
      <c r="M8">
        <v>917</v>
      </c>
      <c r="N8">
        <v>230</v>
      </c>
      <c r="O8">
        <v>99</v>
      </c>
      <c r="P8">
        <v>168</v>
      </c>
    </row>
    <row r="9" spans="1:19" x14ac:dyDescent="0.35">
      <c r="A9">
        <v>281</v>
      </c>
      <c r="B9">
        <v>438</v>
      </c>
      <c r="C9">
        <v>939</v>
      </c>
      <c r="D9">
        <v>588</v>
      </c>
      <c r="E9">
        <v>397</v>
      </c>
      <c r="F9">
        <v>327</v>
      </c>
      <c r="G9">
        <v>634</v>
      </c>
      <c r="H9">
        <v>379</v>
      </c>
      <c r="I9">
        <v>978</v>
      </c>
      <c r="J9">
        <v>908</v>
      </c>
      <c r="K9">
        <v>59</v>
      </c>
      <c r="L9">
        <v>251</v>
      </c>
      <c r="M9">
        <v>612</v>
      </c>
      <c r="N9">
        <v>537</v>
      </c>
      <c r="O9">
        <v>779</v>
      </c>
      <c r="P9">
        <v>184</v>
      </c>
    </row>
    <row r="10" spans="1:19" x14ac:dyDescent="0.35">
      <c r="A10">
        <v>374</v>
      </c>
      <c r="B10">
        <v>191</v>
      </c>
      <c r="C10">
        <v>858</v>
      </c>
      <c r="D10">
        <v>911</v>
      </c>
      <c r="E10">
        <v>478</v>
      </c>
      <c r="F10">
        <v>644</v>
      </c>
      <c r="G10">
        <v>115</v>
      </c>
      <c r="H10">
        <v>574</v>
      </c>
      <c r="I10">
        <v>387</v>
      </c>
      <c r="J10">
        <v>220</v>
      </c>
      <c r="K10" s="24">
        <v>758</v>
      </c>
      <c r="L10">
        <v>367</v>
      </c>
      <c r="M10">
        <v>746</v>
      </c>
      <c r="N10">
        <v>777</v>
      </c>
      <c r="O10">
        <v>296</v>
      </c>
      <c r="P10">
        <v>934</v>
      </c>
    </row>
    <row r="11" spans="1:19" x14ac:dyDescent="0.35">
      <c r="A11">
        <v>924</v>
      </c>
      <c r="B11">
        <v>528</v>
      </c>
      <c r="C11">
        <v>49</v>
      </c>
      <c r="D11">
        <v>658</v>
      </c>
      <c r="E11">
        <v>795</v>
      </c>
      <c r="F11">
        <v>50</v>
      </c>
      <c r="G11">
        <v>110</v>
      </c>
      <c r="H11">
        <v>512</v>
      </c>
      <c r="I11">
        <v>533</v>
      </c>
      <c r="J11">
        <v>259</v>
      </c>
      <c r="K11">
        <v>877</v>
      </c>
      <c r="L11">
        <v>286</v>
      </c>
      <c r="M11">
        <v>60</v>
      </c>
      <c r="N11">
        <v>624</v>
      </c>
      <c r="O11">
        <v>930</v>
      </c>
      <c r="P11">
        <v>797</v>
      </c>
    </row>
    <row r="12" spans="1:19" x14ac:dyDescent="0.35">
      <c r="A12">
        <v>777</v>
      </c>
      <c r="B12">
        <v>791</v>
      </c>
      <c r="C12">
        <v>807</v>
      </c>
      <c r="D12">
        <v>600</v>
      </c>
      <c r="E12">
        <v>227</v>
      </c>
      <c r="F12">
        <v>103</v>
      </c>
      <c r="G12">
        <v>135</v>
      </c>
      <c r="H12">
        <v>892</v>
      </c>
      <c r="I12">
        <v>647</v>
      </c>
      <c r="J12">
        <v>383</v>
      </c>
      <c r="K12">
        <v>81</v>
      </c>
      <c r="L12">
        <v>557</v>
      </c>
      <c r="M12">
        <v>555</v>
      </c>
      <c r="N12">
        <v>297</v>
      </c>
      <c r="O12">
        <v>376</v>
      </c>
      <c r="P12">
        <v>394</v>
      </c>
    </row>
    <row r="13" spans="1:19" x14ac:dyDescent="0.35">
      <c r="A13">
        <v>875</v>
      </c>
      <c r="B13">
        <v>56</v>
      </c>
      <c r="C13">
        <v>725</v>
      </c>
      <c r="D13">
        <v>216</v>
      </c>
      <c r="E13">
        <v>523</v>
      </c>
      <c r="F13">
        <v>984</v>
      </c>
      <c r="G13">
        <v>957</v>
      </c>
      <c r="H13">
        <v>26</v>
      </c>
      <c r="I13">
        <v>609</v>
      </c>
      <c r="J13">
        <v>590</v>
      </c>
      <c r="K13">
        <v>784</v>
      </c>
      <c r="L13">
        <v>453</v>
      </c>
      <c r="M13">
        <v>866</v>
      </c>
      <c r="N13">
        <v>796</v>
      </c>
      <c r="O13">
        <v>703</v>
      </c>
      <c r="P13">
        <v>46</v>
      </c>
    </row>
    <row r="14" spans="1:19" x14ac:dyDescent="0.35">
      <c r="A14">
        <v>128</v>
      </c>
      <c r="B14">
        <v>186</v>
      </c>
      <c r="C14">
        <v>443</v>
      </c>
      <c r="D14">
        <v>151</v>
      </c>
      <c r="E14">
        <v>290</v>
      </c>
      <c r="F14">
        <v>873</v>
      </c>
      <c r="G14">
        <v>333</v>
      </c>
      <c r="H14">
        <v>553</v>
      </c>
      <c r="I14">
        <v>577</v>
      </c>
      <c r="J14">
        <v>794</v>
      </c>
      <c r="K14">
        <v>160</v>
      </c>
      <c r="L14">
        <v>383</v>
      </c>
      <c r="M14">
        <v>70</v>
      </c>
      <c r="N14">
        <v>924</v>
      </c>
      <c r="O14">
        <v>501</v>
      </c>
      <c r="P14">
        <v>912</v>
      </c>
    </row>
    <row r="15" spans="1:19" x14ac:dyDescent="0.35">
      <c r="A15">
        <v>44</v>
      </c>
      <c r="B15">
        <v>115</v>
      </c>
      <c r="C15">
        <v>246</v>
      </c>
      <c r="D15">
        <v>756</v>
      </c>
      <c r="E15">
        <v>831</v>
      </c>
      <c r="F15">
        <v>184</v>
      </c>
      <c r="G15">
        <v>911</v>
      </c>
      <c r="H15">
        <v>935</v>
      </c>
      <c r="I15">
        <v>890</v>
      </c>
      <c r="J15">
        <v>158</v>
      </c>
      <c r="K15">
        <v>868</v>
      </c>
      <c r="L15">
        <v>913</v>
      </c>
      <c r="M15">
        <v>163</v>
      </c>
      <c r="N15">
        <v>79</v>
      </c>
      <c r="O15">
        <v>994</v>
      </c>
      <c r="P15">
        <v>337</v>
      </c>
    </row>
    <row r="16" spans="1:19" x14ac:dyDescent="0.35">
      <c r="A16">
        <v>113</v>
      </c>
      <c r="B16">
        <v>959</v>
      </c>
      <c r="C16">
        <v>861</v>
      </c>
      <c r="D16">
        <v>433</v>
      </c>
      <c r="E16">
        <v>965</v>
      </c>
      <c r="F16">
        <v>165</v>
      </c>
      <c r="G16">
        <v>589</v>
      </c>
      <c r="H16">
        <v>32</v>
      </c>
      <c r="I16">
        <v>623</v>
      </c>
      <c r="J16">
        <v>767</v>
      </c>
      <c r="K16">
        <v>579</v>
      </c>
      <c r="L16">
        <v>947</v>
      </c>
      <c r="M16">
        <v>13</v>
      </c>
      <c r="N16">
        <v>936</v>
      </c>
      <c r="O16">
        <v>306</v>
      </c>
      <c r="P16">
        <v>824</v>
      </c>
    </row>
    <row r="17" spans="1:16" x14ac:dyDescent="0.35">
      <c r="A17">
        <v>653</v>
      </c>
      <c r="B17">
        <v>655</v>
      </c>
      <c r="C17">
        <v>777</v>
      </c>
      <c r="D17">
        <v>196</v>
      </c>
      <c r="E17">
        <v>40</v>
      </c>
      <c r="F17">
        <v>927</v>
      </c>
      <c r="G17">
        <v>29</v>
      </c>
      <c r="H17">
        <v>285</v>
      </c>
      <c r="I17">
        <v>816</v>
      </c>
      <c r="J17">
        <v>189</v>
      </c>
      <c r="K17">
        <v>62</v>
      </c>
      <c r="L17">
        <v>574</v>
      </c>
      <c r="M17">
        <v>93</v>
      </c>
      <c r="N17">
        <v>244</v>
      </c>
      <c r="O17">
        <v>164</v>
      </c>
      <c r="P17">
        <v>524</v>
      </c>
    </row>
    <row r="18" spans="1:16" x14ac:dyDescent="0.35">
      <c r="A18">
        <v>341</v>
      </c>
      <c r="B18">
        <v>880</v>
      </c>
      <c r="C18">
        <v>883</v>
      </c>
      <c r="D18">
        <v>591</v>
      </c>
      <c r="E18">
        <v>988</v>
      </c>
      <c r="F18">
        <v>293</v>
      </c>
      <c r="G18">
        <v>268</v>
      </c>
      <c r="H18">
        <v>986</v>
      </c>
      <c r="I18">
        <v>10</v>
      </c>
      <c r="J18">
        <v>239</v>
      </c>
      <c r="K18">
        <v>547</v>
      </c>
      <c r="L18">
        <v>568</v>
      </c>
      <c r="M18">
        <v>832</v>
      </c>
      <c r="N18">
        <v>502</v>
      </c>
      <c r="O18">
        <v>303</v>
      </c>
      <c r="P18">
        <v>423</v>
      </c>
    </row>
    <row r="19" spans="1:16" x14ac:dyDescent="0.35">
      <c r="A19">
        <v>74</v>
      </c>
      <c r="B19">
        <v>710</v>
      </c>
      <c r="C19">
        <v>622</v>
      </c>
      <c r="D19">
        <v>159</v>
      </c>
      <c r="E19">
        <v>755</v>
      </c>
      <c r="F19">
        <v>93</v>
      </c>
      <c r="G19">
        <v>687</v>
      </c>
      <c r="H19">
        <v>666</v>
      </c>
      <c r="I19">
        <v>498</v>
      </c>
      <c r="J19">
        <v>152</v>
      </c>
      <c r="K19">
        <v>452</v>
      </c>
      <c r="L19">
        <v>721</v>
      </c>
      <c r="M19">
        <v>461</v>
      </c>
      <c r="N19">
        <v>932</v>
      </c>
      <c r="O19">
        <v>210</v>
      </c>
      <c r="P19">
        <v>593</v>
      </c>
    </row>
  </sheetData>
  <mergeCells count="1">
    <mergeCell ref="A1:P2"/>
  </mergeCells>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5F8E88A569C94AA6AC92E0F1EA0BBE" ma:contentTypeVersion="14" ma:contentTypeDescription="Create a new document." ma:contentTypeScope="" ma:versionID="d65fdfdbc720661b01242f5a77569bde">
  <xsd:schema xmlns:xsd="http://www.w3.org/2001/XMLSchema" xmlns:xs="http://www.w3.org/2001/XMLSchema" xmlns:p="http://schemas.microsoft.com/office/2006/metadata/properties" xmlns:ns2="58bf0917-20ef-4d9e-b6a0-8fec9bba9ff1" xmlns:ns3="7511b727-6166-4ba7-8247-d8c0e3451b6d" targetNamespace="http://schemas.microsoft.com/office/2006/metadata/properties" ma:root="true" ma:fieldsID="8ee55e84967bd65d3320022bc50c5c7c" ns2:_="" ns3:_="">
    <xsd:import namespace="58bf0917-20ef-4d9e-b6a0-8fec9bba9ff1"/>
    <xsd:import namespace="7511b727-6166-4ba7-8247-d8c0e3451b6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Description0" minOccurs="0"/>
                <xsd:element ref="ns2:Sourc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8bf0917-20ef-4d9e-b6a0-8fec9bba9f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Description0" ma:index="18" nillable="true" ma:displayName="Description" ma:internalName="Description0">
      <xsd:simpleType>
        <xsd:restriction base="dms:Text">
          <xsd:maxLength value="255"/>
        </xsd:restriction>
      </xsd:simpleType>
    </xsd:element>
    <xsd:element name="Source" ma:index="19" nillable="true" ma:displayName="Source" ma:description="Search" ma:format="Dropdown" ma:internalName="Source">
      <xsd:simpleType>
        <xsd:restriction base="dms:Text">
          <xsd:maxLength value="255"/>
        </xsd:restriction>
      </xsd:simpleType>
    </xsd:element>
    <xsd:element name="MediaServiceDateTaken" ma:index="20"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511b727-6166-4ba7-8247-d8c0e3451b6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escription0 xmlns="58bf0917-20ef-4d9e-b6a0-8fec9bba9ff1" xsi:nil="true"/>
    <Source xmlns="58bf0917-20ef-4d9e-b6a0-8fec9bba9ff1" xsi:nil="true"/>
  </documentManagement>
</p:properties>
</file>

<file path=customXml/itemProps1.xml><?xml version="1.0" encoding="utf-8"?>
<ds:datastoreItem xmlns:ds="http://schemas.openxmlformats.org/officeDocument/2006/customXml" ds:itemID="{90BA39A4-A4DA-4115-8C32-B12CECB98B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8bf0917-20ef-4d9e-b6a0-8fec9bba9ff1"/>
    <ds:schemaRef ds:uri="7511b727-6166-4ba7-8247-d8c0e3451b6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63458AA-A2FF-4933-BF07-ADECAC3872A4}">
  <ds:schemaRefs>
    <ds:schemaRef ds:uri="http://schemas.microsoft.com/sharepoint/v3/contenttype/forms"/>
  </ds:schemaRefs>
</ds:datastoreItem>
</file>

<file path=customXml/itemProps3.xml><?xml version="1.0" encoding="utf-8"?>
<ds:datastoreItem xmlns:ds="http://schemas.openxmlformats.org/officeDocument/2006/customXml" ds:itemID="{781F14B5-4140-4DBB-B132-0EEC19B8D941}">
  <ds:schemaRefs>
    <ds:schemaRef ds:uri="http://schemas.microsoft.com/office/2006/metadata/properties"/>
    <ds:schemaRef ds:uri="http://schemas.microsoft.com/office/infopath/2007/PartnerControls"/>
    <ds:schemaRef ds:uri="58bf0917-20ef-4d9e-b6a0-8fec9bba9ff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metrics</vt:lpstr>
      <vt:lpstr>spend data</vt:lpstr>
      <vt:lpstr>part 1 of test</vt:lpstr>
      <vt:lpstr>part 2 of test</vt:lpstr>
      <vt:lpstr>part 3 of test</vt:lpstr>
      <vt:lpstr>part 4 of test</vt:lpstr>
      <vt:lpstr>part 5 of test</vt:lpstr>
      <vt:lpstr>part 6 of test</vt:lpstr>
      <vt:lpstr>part 7 of test</vt:lpstr>
      <vt:lpstr>part 8 of 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2021-06-19T04:54:29Z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0x010100345F8E88A569C94AA6AC92E0F1EA0BBE</vt:lpwstr>
  </property>
</Properties>
</file>